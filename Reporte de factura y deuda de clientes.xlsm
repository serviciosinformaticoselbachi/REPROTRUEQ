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95" windowWidth="20115" windowHeight="7875" activeTab="6"/>
  </bookViews>
  <sheets>
    <sheet name="FACTURA" sheetId="1" r:id="rId1"/>
    <sheet name="ART" sheetId="2" r:id="rId2"/>
    <sheet name="CLI" sheetId="3" r:id="rId3"/>
    <sheet name="AGR. CLIENTE" sheetId="5" r:id="rId4"/>
    <sheet name="AGR. ARTICULO" sheetId="6" r:id="rId5"/>
    <sheet name="REGISTROS" sheetId="4" r:id="rId6"/>
    <sheet name="PAGOS" sheetId="7" r:id="rId7"/>
    <sheet name="REGISTROS2" sheetId="8" r:id="rId8"/>
    <sheet name="Res. de Deuda" sheetId="9" r:id="rId9"/>
  </sheets>
  <definedNames>
    <definedName name="_xlnm._FilterDatabase" localSheetId="0" hidden="1">FACTURA!$B$18:$H$69</definedName>
    <definedName name="_xlnm._FilterDatabase" localSheetId="8" hidden="1">'Res. de Deuda'!$B$9:$M$9</definedName>
    <definedName name="APODO">CLI!$C:$C</definedName>
    <definedName name="_xlnm.Print_Area" localSheetId="0">FACTURA!$B$1:$H$70</definedName>
    <definedName name="ARTICULO">ART!$B:$B</definedName>
    <definedName name="CEDULA">CLI!$D:$D</definedName>
    <definedName name="CELULAR">CLI!$H:$H</definedName>
    <definedName name="CODIGOART">ART!$A:$A</definedName>
    <definedName name="DIRECCION">CLI!$F:$F</definedName>
    <definedName name="EMAIL">CLI!$I:$I</definedName>
    <definedName name="NIT">CLI!$A:$A</definedName>
    <definedName name="NOMBRE">CLI!$B:$B</definedName>
    <definedName name="PRECIOUNT">ART!$D:$D</definedName>
    <definedName name="PROFESION">CLI!$E:$E</definedName>
    <definedName name="TABART">ART!$A$1:$F$1</definedName>
    <definedName name="TELEFONO">CLI!$G:$G</definedName>
    <definedName name="UNIDART">ART!$C:$C</definedName>
  </definedNames>
  <calcPr calcId="144525"/>
</workbook>
</file>

<file path=xl/calcChain.xml><?xml version="1.0" encoding="utf-8"?>
<calcChain xmlns="http://schemas.openxmlformats.org/spreadsheetml/2006/main">
  <c r="L10" i="9" l="1"/>
  <c r="K10" i="9"/>
  <c r="L11" i="9"/>
  <c r="K11" i="9"/>
  <c r="L12" i="9"/>
  <c r="K12" i="9"/>
  <c r="K13" i="9"/>
  <c r="M11" i="9" l="1"/>
  <c r="M10" i="9"/>
  <c r="M12" i="9"/>
  <c r="M13" i="9"/>
  <c r="C20" i="1"/>
  <c r="E20" i="1" s="1"/>
  <c r="C21" i="1"/>
  <c r="C22" i="1"/>
  <c r="G22" i="1" s="1"/>
  <c r="H22" i="1" s="1"/>
  <c r="C23" i="1"/>
  <c r="C24" i="1"/>
  <c r="E24" i="1" s="1"/>
  <c r="C25" i="1"/>
  <c r="C26" i="1"/>
  <c r="G26" i="1" s="1"/>
  <c r="H26" i="1" s="1"/>
  <c r="C27" i="1"/>
  <c r="C28" i="1"/>
  <c r="E28" i="1" s="1"/>
  <c r="C29" i="1"/>
  <c r="C30" i="1"/>
  <c r="G30" i="1" s="1"/>
  <c r="H30" i="1" s="1"/>
  <c r="C31" i="1"/>
  <c r="C32" i="1"/>
  <c r="E32" i="1" s="1"/>
  <c r="C33" i="1"/>
  <c r="C34" i="1"/>
  <c r="G34" i="1" s="1"/>
  <c r="H34" i="1" s="1"/>
  <c r="C35" i="1"/>
  <c r="C36" i="1"/>
  <c r="E36" i="1" s="1"/>
  <c r="C37" i="1"/>
  <c r="C38" i="1"/>
  <c r="G38" i="1" s="1"/>
  <c r="H38" i="1" s="1"/>
  <c r="C39" i="1"/>
  <c r="C40" i="1"/>
  <c r="E40" i="1" s="1"/>
  <c r="C41" i="1"/>
  <c r="C42" i="1"/>
  <c r="G42" i="1" s="1"/>
  <c r="H42" i="1" s="1"/>
  <c r="C43" i="1"/>
  <c r="C44" i="1"/>
  <c r="E44" i="1" s="1"/>
  <c r="C45" i="1"/>
  <c r="C46" i="1"/>
  <c r="G46" i="1" s="1"/>
  <c r="H46" i="1" s="1"/>
  <c r="C47" i="1"/>
  <c r="C48" i="1"/>
  <c r="E48" i="1" s="1"/>
  <c r="C49" i="1"/>
  <c r="C50" i="1"/>
  <c r="G50" i="1" s="1"/>
  <c r="H50" i="1" s="1"/>
  <c r="C51" i="1"/>
  <c r="C52" i="1"/>
  <c r="E52" i="1" s="1"/>
  <c r="C53" i="1"/>
  <c r="C54" i="1"/>
  <c r="G54" i="1" s="1"/>
  <c r="H54" i="1" s="1"/>
  <c r="C55" i="1"/>
  <c r="E55" i="1" s="1"/>
  <c r="C56" i="1"/>
  <c r="E56" i="1" s="1"/>
  <c r="C57" i="1"/>
  <c r="G57" i="1" s="1"/>
  <c r="H57" i="1" s="1"/>
  <c r="C58" i="1"/>
  <c r="G58" i="1" s="1"/>
  <c r="H58" i="1" s="1"/>
  <c r="C59" i="1"/>
  <c r="E59" i="1" s="1"/>
  <c r="C60" i="1"/>
  <c r="E60" i="1" s="1"/>
  <c r="C61" i="1"/>
  <c r="G61" i="1" s="1"/>
  <c r="H61" i="1" s="1"/>
  <c r="C62" i="1"/>
  <c r="G62" i="1" s="1"/>
  <c r="H62" i="1" s="1"/>
  <c r="C63" i="1"/>
  <c r="E63" i="1" s="1"/>
  <c r="C64" i="1"/>
  <c r="E64" i="1" s="1"/>
  <c r="C65" i="1"/>
  <c r="G65" i="1" s="1"/>
  <c r="H65" i="1" s="1"/>
  <c r="C66" i="1"/>
  <c r="G66" i="1" s="1"/>
  <c r="H66" i="1" s="1"/>
  <c r="C19" i="1"/>
  <c r="E19" i="1" s="1"/>
  <c r="G13" i="1"/>
  <c r="E13" i="1"/>
  <c r="C14" i="1"/>
  <c r="C13" i="1"/>
  <c r="B13" i="1"/>
  <c r="G11" i="1"/>
  <c r="E11" i="1"/>
  <c r="B11" i="1"/>
  <c r="G64" i="1" l="1"/>
  <c r="H64" i="1" s="1"/>
  <c r="G60" i="1"/>
  <c r="H60" i="1" s="1"/>
  <c r="E58" i="1"/>
  <c r="E54" i="1"/>
  <c r="E50" i="1"/>
  <c r="E46" i="1"/>
  <c r="E42" i="1"/>
  <c r="E38" i="1"/>
  <c r="E34" i="1"/>
  <c r="E30" i="1"/>
  <c r="E26" i="1"/>
  <c r="E22" i="1"/>
  <c r="E66" i="1"/>
  <c r="E62" i="1"/>
  <c r="G56" i="1"/>
  <c r="H56" i="1" s="1"/>
  <c r="G52" i="1"/>
  <c r="H52" i="1" s="1"/>
  <c r="G48" i="1"/>
  <c r="H48" i="1" s="1"/>
  <c r="G44" i="1"/>
  <c r="H44" i="1" s="1"/>
  <c r="G40" i="1"/>
  <c r="H40" i="1" s="1"/>
  <c r="G36" i="1"/>
  <c r="H36" i="1" s="1"/>
  <c r="G32" i="1"/>
  <c r="H32" i="1" s="1"/>
  <c r="G28" i="1"/>
  <c r="H28" i="1" s="1"/>
  <c r="G24" i="1"/>
  <c r="H24" i="1" s="1"/>
  <c r="G20" i="1"/>
  <c r="H20" i="1" s="1"/>
  <c r="G53" i="1"/>
  <c r="H53" i="1" s="1"/>
  <c r="E53" i="1"/>
  <c r="E51" i="1"/>
  <c r="G51" i="1"/>
  <c r="H51" i="1" s="1"/>
  <c r="G49" i="1"/>
  <c r="H49" i="1" s="1"/>
  <c r="E49" i="1"/>
  <c r="E47" i="1"/>
  <c r="G47" i="1"/>
  <c r="H47" i="1" s="1"/>
  <c r="G45" i="1"/>
  <c r="H45" i="1" s="1"/>
  <c r="E45" i="1"/>
  <c r="E43" i="1"/>
  <c r="G43" i="1"/>
  <c r="H43" i="1" s="1"/>
  <c r="G41" i="1"/>
  <c r="H41" i="1" s="1"/>
  <c r="E41" i="1"/>
  <c r="E39" i="1"/>
  <c r="G39" i="1"/>
  <c r="H39" i="1" s="1"/>
  <c r="G37" i="1"/>
  <c r="H37" i="1" s="1"/>
  <c r="E37" i="1"/>
  <c r="E35" i="1"/>
  <c r="G35" i="1"/>
  <c r="H35" i="1" s="1"/>
  <c r="G33" i="1"/>
  <c r="H33" i="1" s="1"/>
  <c r="E33" i="1"/>
  <c r="E31" i="1"/>
  <c r="G31" i="1"/>
  <c r="H31" i="1" s="1"/>
  <c r="G29" i="1"/>
  <c r="H29" i="1" s="1"/>
  <c r="E29" i="1"/>
  <c r="E27" i="1"/>
  <c r="G27" i="1"/>
  <c r="H27" i="1" s="1"/>
  <c r="G25" i="1"/>
  <c r="H25" i="1" s="1"/>
  <c r="E25" i="1"/>
  <c r="E23" i="1"/>
  <c r="G23" i="1"/>
  <c r="H23" i="1" s="1"/>
  <c r="G21" i="1"/>
  <c r="H21" i="1" s="1"/>
  <c r="E21" i="1"/>
  <c r="E65" i="1"/>
  <c r="G63" i="1"/>
  <c r="H63" i="1" s="1"/>
  <c r="E57" i="1"/>
  <c r="G55" i="1"/>
  <c r="H55" i="1" s="1"/>
  <c r="E61" i="1"/>
  <c r="G59" i="1"/>
  <c r="H59" i="1" s="1"/>
  <c r="G19" i="1"/>
  <c r="H19" i="1" s="1"/>
  <c r="H67" i="1" l="1"/>
  <c r="B11" i="7" l="1"/>
  <c r="J8" i="7"/>
  <c r="I8" i="7"/>
  <c r="H8" i="7"/>
  <c r="G8" i="7"/>
  <c r="F8" i="7"/>
  <c r="E8" i="7"/>
  <c r="D8" i="7"/>
  <c r="B8" i="7"/>
  <c r="B7" i="6" l="1"/>
  <c r="B7" i="5" l="1"/>
</calcChain>
</file>

<file path=xl/comments1.xml><?xml version="1.0" encoding="utf-8"?>
<comments xmlns="http://schemas.openxmlformats.org/spreadsheetml/2006/main">
  <authors>
    <author>Alfonso Gracesqui</author>
  </authors>
  <commentList>
    <comment ref="B7" authorId="0">
      <text>
        <r>
          <rPr>
            <b/>
            <sz val="9"/>
            <color indexed="81"/>
            <rFont val="Tahoma"/>
            <charset val="1"/>
          </rPr>
          <t>No borrar esta formula</t>
        </r>
      </text>
    </comment>
  </commentList>
</comments>
</file>

<file path=xl/comments2.xml><?xml version="1.0" encoding="utf-8"?>
<comments xmlns="http://schemas.openxmlformats.org/spreadsheetml/2006/main">
  <authors>
    <author>Alfonso Gracesqui</author>
  </authors>
  <commentList>
    <comment ref="B7" authorId="0">
      <text>
        <r>
          <rPr>
            <b/>
            <sz val="9"/>
            <color indexed="81"/>
            <rFont val="Tahoma"/>
            <charset val="1"/>
          </rPr>
          <t>No borrar esta formula</t>
        </r>
      </text>
    </comment>
  </commentList>
</comments>
</file>

<file path=xl/sharedStrings.xml><?xml version="1.0" encoding="utf-8"?>
<sst xmlns="http://schemas.openxmlformats.org/spreadsheetml/2006/main" count="144" uniqueCount="63">
  <si>
    <t>Código</t>
  </si>
  <si>
    <t>Unidad</t>
  </si>
  <si>
    <t>Teléfono</t>
  </si>
  <si>
    <t>Dirección</t>
  </si>
  <si>
    <t>Precio Unit</t>
  </si>
  <si>
    <t>SubTotal</t>
  </si>
  <si>
    <t>CODIGO ART</t>
  </si>
  <si>
    <t>ARTICULO</t>
  </si>
  <si>
    <t>UNIDAD</t>
  </si>
  <si>
    <t>PROVEEDOR</t>
  </si>
  <si>
    <t>FAMILIA</t>
  </si>
  <si>
    <t>TELEFONO</t>
  </si>
  <si>
    <t>EMAIL</t>
  </si>
  <si>
    <t>FACTURA</t>
  </si>
  <si>
    <t>Nombre y Apellido</t>
  </si>
  <si>
    <t>CODIGO</t>
  </si>
  <si>
    <t>NOMBRE Y APELLIDO</t>
  </si>
  <si>
    <t>APODO</t>
  </si>
  <si>
    <t>Apodo</t>
  </si>
  <si>
    <t>Cédula</t>
  </si>
  <si>
    <t>Profesión</t>
  </si>
  <si>
    <t>CÉDULA</t>
  </si>
  <si>
    <t>PROFESIÓN</t>
  </si>
  <si>
    <t>DIRECCIÓN</t>
  </si>
  <si>
    <t>CELULAR</t>
  </si>
  <si>
    <t>Celular</t>
  </si>
  <si>
    <t>PRECIO UNT.</t>
  </si>
  <si>
    <t>Fecha Registro</t>
  </si>
  <si>
    <t>E-MAIL</t>
  </si>
  <si>
    <t>INGRESAR NUEVO CLIENTE</t>
  </si>
  <si>
    <t>Descripción</t>
  </si>
  <si>
    <t>Cantidad</t>
  </si>
  <si>
    <t>Registro</t>
  </si>
  <si>
    <t>ID</t>
  </si>
  <si>
    <t>Deuda</t>
  </si>
  <si>
    <t>Pagos</t>
  </si>
  <si>
    <t>Balance Actual</t>
  </si>
  <si>
    <t>Buscar un cliente espesifico.</t>
  </si>
  <si>
    <t>Ultimo Balance</t>
  </si>
  <si>
    <t>FECHA</t>
  </si>
  <si>
    <t>Fecha</t>
  </si>
  <si>
    <t>Ítem</t>
  </si>
  <si>
    <r>
      <t>N</t>
    </r>
    <r>
      <rPr>
        <b/>
        <sz val="11"/>
        <color theme="0"/>
        <rFont val="Calibri"/>
        <family val="2"/>
      </rPr>
      <t>° Registro</t>
    </r>
  </si>
  <si>
    <t>Descargado</t>
  </si>
  <si>
    <t>TOTAL</t>
  </si>
  <si>
    <t>Facturado</t>
  </si>
  <si>
    <t>Saldo Actual</t>
  </si>
  <si>
    <t>PUBLICIDAD RODANTE</t>
  </si>
  <si>
    <t>http://www.GOGLE.COM</t>
  </si>
  <si>
    <t>SERVICIOS INFORMATICOS:</t>
  </si>
  <si>
    <t>CERRO COLORADO</t>
  </si>
  <si>
    <t>098 570 236</t>
  </si>
  <si>
    <t>DANIELA ACUÑA</t>
  </si>
  <si>
    <t>PUBLICIDAD MENSUAL</t>
  </si>
  <si>
    <t>YO</t>
  </si>
  <si>
    <t>PUBLICIDAD HORA</t>
  </si>
  <si>
    <t>CLIENTE</t>
  </si>
  <si>
    <t>FATA</t>
  </si>
  <si>
    <t>NOTA</t>
  </si>
  <si>
    <t>POLITICA</t>
  </si>
  <si>
    <t>PANADERO</t>
  </si>
  <si>
    <t>MAS</t>
  </si>
  <si>
    <t>NOOO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</si>
</sst>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\A\-\0000"/>
    <numFmt numFmtId="166" formatCode="\C\-\0000"/>
    <numFmt numFmtId="167" formatCode="\R\ \-\ \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9"/>
      <color indexed="81"/>
      <name val="Tahoma"/>
      <charset val="1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b/>
      <sz val="1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5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25">
    <xf numFmtId="0" fontId="0" fillId="0" borderId="0" xfId="0"/>
    <xf numFmtId="0" fontId="9" fillId="7" borderId="2" xfId="0" applyNumberFormat="1" applyFont="1" applyFill="1" applyBorder="1" applyProtection="1">
      <protection locked="0" hidden="1"/>
    </xf>
    <xf numFmtId="0" fontId="9" fillId="7" borderId="2" xfId="0" applyFont="1" applyFill="1" applyBorder="1" applyProtection="1">
      <protection locked="0" hidden="1"/>
    </xf>
    <xf numFmtId="0" fontId="0" fillId="0" borderId="0" xfId="0" applyProtection="1">
      <protection locked="0" hidden="1"/>
    </xf>
    <xf numFmtId="0" fontId="0" fillId="0" borderId="0" xfId="0" applyProtection="1"/>
    <xf numFmtId="0" fontId="8" fillId="4" borderId="0" xfId="0" applyFont="1" applyFill="1" applyProtection="1">
      <protection locked="0" hidden="1"/>
    </xf>
    <xf numFmtId="0" fontId="0" fillId="5" borderId="3" xfId="0" applyFill="1" applyBorder="1" applyProtection="1">
      <protection locked="0" hidden="1"/>
    </xf>
    <xf numFmtId="14" fontId="0" fillId="5" borderId="7" xfId="0" applyNumberFormat="1" applyFill="1" applyBorder="1" applyProtection="1">
      <protection locked="0" hidden="1"/>
    </xf>
    <xf numFmtId="0" fontId="0" fillId="5" borderId="7" xfId="0" applyFill="1" applyBorder="1" applyProtection="1">
      <protection locked="0" hidden="1"/>
    </xf>
    <xf numFmtId="0" fontId="0" fillId="5" borderId="4" xfId="0" applyFill="1" applyBorder="1" applyProtection="1">
      <protection locked="0" hidden="1"/>
    </xf>
    <xf numFmtId="0" fontId="0" fillId="4" borderId="0" xfId="0" applyFill="1" applyProtection="1">
      <protection locked="0" hidden="1"/>
    </xf>
    <xf numFmtId="0" fontId="0" fillId="5" borderId="5" xfId="0" applyFill="1" applyBorder="1" applyProtection="1">
      <protection locked="0" hidden="1"/>
    </xf>
    <xf numFmtId="14" fontId="0" fillId="5" borderId="0" xfId="0" applyNumberFormat="1" applyFill="1" applyBorder="1" applyProtection="1">
      <protection locked="0" hidden="1"/>
    </xf>
    <xf numFmtId="0" fontId="0" fillId="5" borderId="0" xfId="0" applyFill="1" applyBorder="1" applyProtection="1">
      <protection locked="0" hidden="1"/>
    </xf>
    <xf numFmtId="0" fontId="0" fillId="5" borderId="6" xfId="0" applyFill="1" applyBorder="1" applyProtection="1">
      <protection locked="0" hidden="1"/>
    </xf>
    <xf numFmtId="0" fontId="0" fillId="5" borderId="5" xfId="0" applyFill="1" applyBorder="1" applyAlignment="1" applyProtection="1">
      <alignment vertical="center" wrapText="1"/>
      <protection locked="0" hidden="1"/>
    </xf>
    <xf numFmtId="0" fontId="0" fillId="5" borderId="0" xfId="0" applyFill="1" applyBorder="1" applyAlignment="1" applyProtection="1">
      <alignment vertical="center" wrapText="1"/>
      <protection locked="0" hidden="1"/>
    </xf>
    <xf numFmtId="0" fontId="9" fillId="5" borderId="0" xfId="0" applyFont="1" applyFill="1" applyBorder="1" applyAlignment="1" applyProtection="1">
      <alignment vertical="center" wrapText="1"/>
      <protection locked="0" hidden="1"/>
    </xf>
    <xf numFmtId="0" fontId="3" fillId="5" borderId="6" xfId="2" applyFont="1" applyFill="1" applyBorder="1" applyAlignment="1" applyProtection="1">
      <alignment vertical="center"/>
      <protection locked="0" hidden="1"/>
    </xf>
    <xf numFmtId="0" fontId="6" fillId="5" borderId="14" xfId="0" applyFont="1" applyFill="1" applyBorder="1" applyAlignment="1" applyProtection="1">
      <protection locked="0" hidden="1"/>
    </xf>
    <xf numFmtId="0" fontId="6" fillId="5" borderId="15" xfId="0" applyFont="1" applyFill="1" applyBorder="1" applyAlignment="1" applyProtection="1">
      <protection locked="0" hidden="1"/>
    </xf>
    <xf numFmtId="0" fontId="6" fillId="5" borderId="14" xfId="0" applyFont="1" applyFill="1" applyBorder="1" applyProtection="1">
      <protection locked="0" hidden="1"/>
    </xf>
    <xf numFmtId="14" fontId="6" fillId="5" borderId="2" xfId="0" applyNumberFormat="1" applyFont="1" applyFill="1" applyBorder="1" applyAlignment="1" applyProtection="1">
      <protection locked="0" hidden="1"/>
    </xf>
    <xf numFmtId="0" fontId="6" fillId="5" borderId="6" xfId="0" applyFont="1" applyFill="1" applyBorder="1" applyProtection="1">
      <protection locked="0" hidden="1"/>
    </xf>
    <xf numFmtId="0" fontId="6" fillId="5" borderId="6" xfId="0" applyFont="1" applyFill="1" applyBorder="1" applyAlignment="1" applyProtection="1">
      <protection locked="0" hidden="1"/>
    </xf>
    <xf numFmtId="0" fontId="6" fillId="5" borderId="9" xfId="0" applyFont="1" applyFill="1" applyBorder="1" applyAlignment="1" applyProtection="1">
      <alignment horizontal="center"/>
      <protection locked="0" hidden="1"/>
    </xf>
    <xf numFmtId="0" fontId="6" fillId="5" borderId="2" xfId="0" applyFont="1" applyFill="1" applyBorder="1" applyProtection="1">
      <protection locked="0" hidden="1"/>
    </xf>
    <xf numFmtId="0" fontId="4" fillId="5" borderId="0" xfId="0" applyFont="1" applyFill="1" applyBorder="1" applyAlignment="1" applyProtection="1">
      <alignment vertical="top" wrapText="1"/>
      <protection locked="0" hidden="1"/>
    </xf>
    <xf numFmtId="0" fontId="0" fillId="5" borderId="11" xfId="0" applyFill="1" applyBorder="1" applyProtection="1">
      <protection locked="0" hidden="1"/>
    </xf>
    <xf numFmtId="0" fontId="0" fillId="5" borderId="12" xfId="0" applyFill="1" applyBorder="1" applyProtection="1">
      <protection locked="0" hidden="1"/>
    </xf>
    <xf numFmtId="0" fontId="0" fillId="5" borderId="13" xfId="0" applyFill="1" applyBorder="1" applyProtection="1">
      <protection locked="0" hidden="1"/>
    </xf>
    <xf numFmtId="0" fontId="6" fillId="5" borderId="14" xfId="0" applyFont="1" applyFill="1" applyBorder="1" applyProtection="1"/>
    <xf numFmtId="0" fontId="6" fillId="5" borderId="17" xfId="0" applyFont="1" applyFill="1" applyBorder="1" applyProtection="1"/>
    <xf numFmtId="0" fontId="6" fillId="5" borderId="2" xfId="0" applyFont="1" applyFill="1" applyBorder="1" applyProtection="1"/>
    <xf numFmtId="0" fontId="0" fillId="6" borderId="2" xfId="0" applyFill="1" applyBorder="1" applyProtection="1"/>
    <xf numFmtId="0" fontId="4" fillId="5" borderId="5" xfId="0" applyFont="1" applyFill="1" applyBorder="1" applyAlignment="1" applyProtection="1">
      <alignment vertical="top" wrapText="1"/>
    </xf>
    <xf numFmtId="0" fontId="4" fillId="5" borderId="0" xfId="0" applyFont="1" applyFill="1" applyBorder="1" applyAlignment="1" applyProtection="1">
      <alignment vertical="top" wrapText="1"/>
    </xf>
    <xf numFmtId="0" fontId="5" fillId="5" borderId="0" xfId="3" applyFill="1" applyBorder="1" applyAlignment="1" applyProtection="1">
      <alignment vertical="top" wrapText="1"/>
    </xf>
    <xf numFmtId="0" fontId="8" fillId="4" borderId="0" xfId="0" applyFont="1" applyFill="1" applyProtection="1"/>
    <xf numFmtId="0" fontId="0" fillId="9" borderId="0" xfId="0" applyFill="1"/>
    <xf numFmtId="0" fontId="12" fillId="8" borderId="2" xfId="0" applyFont="1" applyFill="1" applyBorder="1"/>
    <xf numFmtId="0" fontId="12" fillId="8" borderId="14" xfId="0" applyFont="1" applyFill="1" applyBorder="1"/>
    <xf numFmtId="0" fontId="12" fillId="8" borderId="15" xfId="0" applyFont="1" applyFill="1" applyBorder="1"/>
    <xf numFmtId="0" fontId="0" fillId="5" borderId="15" xfId="0" applyFill="1" applyBorder="1" applyProtection="1">
      <protection locked="0" hidden="1"/>
    </xf>
    <xf numFmtId="0" fontId="12" fillId="8" borderId="22" xfId="0" applyFont="1" applyFill="1" applyBorder="1"/>
    <xf numFmtId="0" fontId="0" fillId="5" borderId="2" xfId="0" applyFill="1" applyBorder="1"/>
    <xf numFmtId="0" fontId="13" fillId="9" borderId="0" xfId="0" applyFont="1" applyFill="1"/>
    <xf numFmtId="0" fontId="5" fillId="5" borderId="2" xfId="3" applyFill="1" applyBorder="1"/>
    <xf numFmtId="0" fontId="11" fillId="8" borderId="2" xfId="0" applyFont="1" applyFill="1" applyBorder="1"/>
    <xf numFmtId="0" fontId="6" fillId="6" borderId="2" xfId="0" applyFont="1" applyFill="1" applyBorder="1" applyProtection="1"/>
    <xf numFmtId="166" fontId="6" fillId="5" borderId="17" xfId="0" applyNumberFormat="1" applyFont="1" applyFill="1" applyBorder="1" applyAlignment="1" applyProtection="1">
      <alignment horizontal="right"/>
    </xf>
    <xf numFmtId="166" fontId="0" fillId="0" borderId="0" xfId="0" applyNumberFormat="1" applyProtection="1">
      <protection locked="0" hidden="1"/>
    </xf>
    <xf numFmtId="165" fontId="0" fillId="0" borderId="0" xfId="0" applyNumberFormat="1" applyProtection="1">
      <protection locked="0" hidden="1"/>
    </xf>
    <xf numFmtId="166" fontId="0" fillId="5" borderId="2" xfId="0" applyNumberFormat="1" applyFill="1" applyBorder="1"/>
    <xf numFmtId="165" fontId="0" fillId="5" borderId="2" xfId="0" applyNumberFormat="1" applyFill="1" applyBorder="1"/>
    <xf numFmtId="167" fontId="2" fillId="5" borderId="8" xfId="1" applyNumberFormat="1" applyFill="1" applyBorder="1" applyAlignment="1" applyProtection="1">
      <alignment vertical="center" wrapText="1"/>
      <protection locked="0" hidden="1"/>
    </xf>
    <xf numFmtId="0" fontId="4" fillId="5" borderId="18" xfId="0" applyFont="1" applyFill="1" applyBorder="1" applyAlignment="1" applyProtection="1">
      <alignment vertical="top" wrapText="1"/>
      <protection locked="0" hidden="1"/>
    </xf>
    <xf numFmtId="0" fontId="4" fillId="5" borderId="19" xfId="0" applyFont="1" applyFill="1" applyBorder="1" applyAlignment="1" applyProtection="1">
      <alignment vertical="top" wrapText="1"/>
      <protection locked="0" hidden="1"/>
    </xf>
    <xf numFmtId="0" fontId="4" fillId="5" borderId="20" xfId="0" applyFont="1" applyFill="1" applyBorder="1" applyAlignment="1" applyProtection="1">
      <alignment vertical="top" wrapText="1"/>
      <protection locked="0" hidden="1"/>
    </xf>
    <xf numFmtId="0" fontId="4" fillId="5" borderId="23" xfId="0" applyFont="1" applyFill="1" applyBorder="1" applyAlignment="1" applyProtection="1">
      <alignment vertical="top" wrapText="1"/>
      <protection locked="0" hidden="1"/>
    </xf>
    <xf numFmtId="0" fontId="4" fillId="5" borderId="6" xfId="0" applyFont="1" applyFill="1" applyBorder="1" applyAlignment="1" applyProtection="1">
      <alignment vertical="top" wrapText="1"/>
      <protection locked="0" hidden="1"/>
    </xf>
    <xf numFmtId="0" fontId="9" fillId="10" borderId="2" xfId="0" applyFont="1" applyFill="1" applyBorder="1" applyAlignment="1">
      <alignment horizontal="center"/>
    </xf>
    <xf numFmtId="14" fontId="9" fillId="10" borderId="2" xfId="0" applyNumberFormat="1" applyFont="1" applyFill="1" applyBorder="1" applyAlignment="1">
      <alignment horizontal="center"/>
    </xf>
    <xf numFmtId="167" fontId="0" fillId="0" borderId="0" xfId="0" applyNumberFormat="1"/>
    <xf numFmtId="166" fontId="0" fillId="0" borderId="0" xfId="0" applyNumberFormat="1"/>
    <xf numFmtId="165" fontId="6" fillId="5" borderId="2" xfId="0" applyNumberFormat="1" applyFont="1" applyFill="1" applyBorder="1" applyProtection="1"/>
    <xf numFmtId="165" fontId="0" fillId="0" borderId="0" xfId="0" applyNumberFormat="1"/>
    <xf numFmtId="164" fontId="6" fillId="6" borderId="8" xfId="4" applyNumberFormat="1" applyFont="1" applyFill="1" applyBorder="1" applyProtection="1"/>
    <xf numFmtId="0" fontId="15" fillId="9" borderId="0" xfId="0" applyFont="1" applyFill="1"/>
    <xf numFmtId="0" fontId="9" fillId="10" borderId="24" xfId="0" applyFont="1" applyFill="1" applyBorder="1" applyAlignment="1">
      <alignment horizontal="center"/>
    </xf>
    <xf numFmtId="14" fontId="9" fillId="10" borderId="24" xfId="0" applyNumberFormat="1" applyFont="1" applyFill="1" applyBorder="1" applyAlignment="1">
      <alignment horizontal="center"/>
    </xf>
    <xf numFmtId="0" fontId="0" fillId="4" borderId="0" xfId="0" applyFill="1"/>
    <xf numFmtId="0" fontId="0" fillId="11" borderId="3" xfId="0" applyFill="1" applyBorder="1"/>
    <xf numFmtId="0" fontId="0" fillId="11" borderId="7" xfId="0" applyFill="1" applyBorder="1"/>
    <xf numFmtId="0" fontId="0" fillId="11" borderId="4" xfId="0" applyFill="1" applyBorder="1"/>
    <xf numFmtId="0" fontId="0" fillId="11" borderId="5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6" fontId="16" fillId="5" borderId="2" xfId="0" applyNumberFormat="1" applyFont="1" applyFill="1" applyBorder="1" applyAlignment="1">
      <alignment vertical="center"/>
    </xf>
    <xf numFmtId="0" fontId="16" fillId="5" borderId="2" xfId="0" applyFont="1" applyFill="1" applyBorder="1" applyAlignment="1">
      <alignment vertical="center"/>
    </xf>
    <xf numFmtId="164" fontId="16" fillId="5" borderId="2" xfId="4" applyFont="1" applyFill="1" applyBorder="1" applyAlignment="1">
      <alignment vertical="center"/>
    </xf>
    <xf numFmtId="164" fontId="16" fillId="5" borderId="2" xfId="0" applyNumberFormat="1" applyFont="1" applyFill="1" applyBorder="1" applyAlignment="1">
      <alignment vertical="center"/>
    </xf>
    <xf numFmtId="0" fontId="0" fillId="0" borderId="2" xfId="0" applyBorder="1"/>
    <xf numFmtId="164" fontId="0" fillId="0" borderId="2" xfId="4" applyFont="1" applyBorder="1"/>
    <xf numFmtId="166" fontId="0" fillId="4" borderId="0" xfId="0" applyNumberFormat="1" applyFill="1"/>
    <xf numFmtId="166" fontId="0" fillId="0" borderId="2" xfId="0" applyNumberFormat="1" applyBorder="1"/>
    <xf numFmtId="14" fontId="16" fillId="5" borderId="2" xfId="0" applyNumberFormat="1" applyFont="1" applyFill="1" applyBorder="1" applyAlignment="1">
      <alignment vertical="center"/>
    </xf>
    <xf numFmtId="14" fontId="0" fillId="4" borderId="0" xfId="0" applyNumberFormat="1" applyFill="1"/>
    <xf numFmtId="14" fontId="0" fillId="0" borderId="2" xfId="0" applyNumberFormat="1" applyBorder="1"/>
    <xf numFmtId="0" fontId="6" fillId="5" borderId="25" xfId="0" applyFont="1" applyFill="1" applyBorder="1" applyAlignment="1" applyProtection="1"/>
    <xf numFmtId="0" fontId="6" fillId="5" borderId="15" xfId="0" applyFont="1" applyFill="1" applyBorder="1" applyProtection="1">
      <protection locked="0" hidden="1"/>
    </xf>
    <xf numFmtId="164" fontId="0" fillId="5" borderId="2" xfId="4" applyNumberFormat="1" applyFont="1" applyFill="1" applyBorder="1"/>
    <xf numFmtId="0" fontId="0" fillId="12" borderId="19" xfId="0" applyFill="1" applyBorder="1"/>
    <xf numFmtId="0" fontId="0" fillId="12" borderId="20" xfId="0" applyFill="1" applyBorder="1"/>
    <xf numFmtId="0" fontId="9" fillId="13" borderId="2" xfId="0" applyFont="1" applyFill="1" applyBorder="1" applyAlignment="1" applyProtection="1">
      <alignment vertical="center" wrapText="1"/>
      <protection locked="0" hidden="1"/>
    </xf>
    <xf numFmtId="164" fontId="18" fillId="13" borderId="8" xfId="4" applyNumberFormat="1" applyFont="1" applyFill="1" applyBorder="1" applyProtection="1"/>
    <xf numFmtId="166" fontId="0" fillId="12" borderId="26" xfId="0" applyNumberFormat="1" applyFill="1" applyBorder="1"/>
    <xf numFmtId="164" fontId="16" fillId="5" borderId="2" xfId="4" applyFont="1" applyFill="1" applyBorder="1" applyAlignment="1">
      <alignment horizontal="center" vertical="center"/>
    </xf>
    <xf numFmtId="0" fontId="3" fillId="8" borderId="9" xfId="2" applyFont="1" applyFill="1" applyBorder="1" applyAlignment="1" applyProtection="1">
      <alignment vertical="center"/>
      <protection locked="0" hidden="1"/>
    </xf>
    <xf numFmtId="0" fontId="3" fillId="8" borderId="2" xfId="2" applyFont="1" applyFill="1" applyBorder="1" applyAlignment="1" applyProtection="1">
      <alignment vertical="center"/>
      <protection locked="0" hidden="1"/>
    </xf>
    <xf numFmtId="0" fontId="3" fillId="8" borderId="10" xfId="2" applyFont="1" applyFill="1" applyBorder="1" applyAlignment="1" applyProtection="1">
      <alignment vertical="center"/>
      <protection locked="0" hidden="1"/>
    </xf>
    <xf numFmtId="0" fontId="3" fillId="8" borderId="8" xfId="2" applyFont="1" applyFill="1" applyBorder="1" applyAlignment="1" applyProtection="1">
      <alignment vertical="center" wrapText="1"/>
      <protection locked="0" hidden="1"/>
    </xf>
    <xf numFmtId="0" fontId="3" fillId="8" borderId="9" xfId="2" applyFont="1" applyFill="1" applyBorder="1" applyAlignment="1" applyProtection="1">
      <alignment vertical="center" wrapText="1"/>
      <protection locked="0" hidden="1"/>
    </xf>
    <xf numFmtId="0" fontId="3" fillId="8" borderId="2" xfId="2" applyFont="1" applyFill="1" applyBorder="1" applyAlignment="1" applyProtection="1">
      <alignment vertical="center" wrapText="1"/>
      <protection locked="0" hidden="1"/>
    </xf>
    <xf numFmtId="0" fontId="3" fillId="8" borderId="17" xfId="2" applyFont="1" applyFill="1" applyBorder="1" applyAlignment="1" applyProtection="1">
      <alignment vertical="center"/>
      <protection locked="0" hidden="1"/>
    </xf>
    <xf numFmtId="166" fontId="0" fillId="5" borderId="24" xfId="0" applyNumberFormat="1" applyFill="1" applyBorder="1"/>
    <xf numFmtId="0" fontId="0" fillId="5" borderId="24" xfId="0" applyFill="1" applyBorder="1"/>
    <xf numFmtId="164" fontId="0" fillId="5" borderId="24" xfId="4" applyNumberFormat="1" applyFont="1" applyFill="1" applyBorder="1"/>
    <xf numFmtId="0" fontId="4" fillId="5" borderId="5" xfId="0" applyFont="1" applyFill="1" applyBorder="1" applyAlignment="1" applyProtection="1">
      <alignment horizontal="left" vertical="top" wrapText="1"/>
    </xf>
    <xf numFmtId="0" fontId="4" fillId="5" borderId="0" xfId="0" applyFont="1" applyFill="1" applyBorder="1" applyAlignment="1" applyProtection="1">
      <alignment horizontal="left" vertical="top" wrapText="1"/>
    </xf>
    <xf numFmtId="0" fontId="7" fillId="5" borderId="0" xfId="0" applyFont="1" applyFill="1" applyBorder="1" applyAlignment="1" applyProtection="1">
      <alignment horizontal="center" vertical="center" wrapText="1"/>
      <protection locked="0" hidden="1"/>
    </xf>
    <xf numFmtId="0" fontId="3" fillId="8" borderId="10" xfId="2" applyFont="1" applyFill="1" applyBorder="1" applyAlignment="1" applyProtection="1">
      <alignment vertical="center"/>
      <protection locked="0" hidden="1"/>
    </xf>
    <xf numFmtId="0" fontId="3" fillId="8" borderId="21" xfId="2" applyFont="1" applyFill="1" applyBorder="1" applyAlignment="1" applyProtection="1">
      <alignment vertical="center"/>
      <protection locked="0" hidden="1"/>
    </xf>
    <xf numFmtId="0" fontId="3" fillId="8" borderId="16" xfId="2" applyFont="1" applyFill="1" applyBorder="1" applyAlignment="1" applyProtection="1">
      <alignment vertical="center"/>
      <protection locked="0" hidden="1"/>
    </xf>
    <xf numFmtId="0" fontId="3" fillId="8" borderId="2" xfId="2" applyFont="1" applyFill="1" applyBorder="1" applyAlignment="1" applyProtection="1">
      <alignment vertical="center"/>
      <protection locked="0" hidden="1"/>
    </xf>
    <xf numFmtId="0" fontId="0" fillId="5" borderId="0" xfId="0" applyFill="1" applyBorder="1" applyAlignment="1" applyProtection="1">
      <alignment horizontal="center" vertical="center" wrapText="1"/>
      <protection locked="0" hidden="1"/>
    </xf>
    <xf numFmtId="0" fontId="10" fillId="5" borderId="0" xfId="0" applyFont="1" applyFill="1" applyBorder="1" applyAlignment="1" applyProtection="1">
      <alignment horizontal="center" vertical="center" wrapText="1"/>
      <protection locked="0" hidden="1"/>
    </xf>
    <xf numFmtId="14" fontId="0" fillId="0" borderId="0" xfId="0" applyNumberFormat="1"/>
    <xf numFmtId="0" fontId="0" fillId="0" borderId="24" xfId="0" applyBorder="1"/>
    <xf numFmtId="166" fontId="0" fillId="0" borderId="24" xfId="0" applyNumberFormat="1" applyBorder="1"/>
    <xf numFmtId="14" fontId="0" fillId="0" borderId="24" xfId="0" applyNumberFormat="1" applyBorder="1"/>
    <xf numFmtId="164" fontId="0" fillId="0" borderId="24" xfId="4" applyFont="1" applyBorder="1"/>
  </cellXfs>
  <cellStyles count="5">
    <cellStyle name="40% - Énfasis1" xfId="2" builtinId="31"/>
    <cellStyle name="Hipervínculo" xfId="3" builtinId="8"/>
    <cellStyle name="Millares" xfId="4" builtinId="3"/>
    <cellStyle name="Normal" xfId="0" builtinId="0"/>
    <cellStyle name="Salida" xfId="1" builtinId="21"/>
  </cellStyles>
  <dxfs count="6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613833</xdr:colOff>
      <xdr:row>1</xdr:row>
      <xdr:rowOff>243416</xdr:rowOff>
    </xdr:from>
    <xdr:to>
      <xdr:col>12</xdr:col>
      <xdr:colOff>497416</xdr:colOff>
      <xdr:row>14</xdr:row>
      <xdr:rowOff>42333</xdr:rowOff>
    </xdr:to>
    <xdr:sp macro="" textlink="">
      <xdr:nvSpPr>
        <xdr:cNvPr id="14" name="13 Rectángulo"/>
        <xdr:cNvSpPr/>
      </xdr:nvSpPr>
      <xdr:spPr>
        <a:xfrm>
          <a:off x="10128250" y="433916"/>
          <a:ext cx="2169583" cy="249766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DO" sz="1100"/>
        </a:p>
      </xdr:txBody>
    </xdr:sp>
    <xdr:clientData/>
  </xdr:twoCellAnchor>
  <xdr:twoCellAnchor>
    <xdr:from>
      <xdr:col>1</xdr:col>
      <xdr:colOff>38102</xdr:colOff>
      <xdr:row>15</xdr:row>
      <xdr:rowOff>63500</xdr:rowOff>
    </xdr:from>
    <xdr:to>
      <xdr:col>2</xdr:col>
      <xdr:colOff>517526</xdr:colOff>
      <xdr:row>16</xdr:row>
      <xdr:rowOff>137583</xdr:rowOff>
    </xdr:to>
    <xdr:sp macro="[0]!BUSCARARTICULO" textlink="">
      <xdr:nvSpPr>
        <xdr:cNvPr id="2" name="1 Rectángulo redondeado"/>
        <xdr:cNvSpPr/>
      </xdr:nvSpPr>
      <xdr:spPr>
        <a:xfrm>
          <a:off x="842435" y="3143250"/>
          <a:ext cx="1421341" cy="264583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chemeClr val="bg1"/>
              </a:solidFill>
            </a:rPr>
            <a:t>BUSCAR ARTICULO</a:t>
          </a:r>
        </a:p>
      </xdr:txBody>
    </xdr:sp>
    <xdr:clientData/>
  </xdr:twoCellAnchor>
  <xdr:twoCellAnchor editAs="oneCell">
    <xdr:from>
      <xdr:col>1</xdr:col>
      <xdr:colOff>204332</xdr:colOff>
      <xdr:row>1</xdr:row>
      <xdr:rowOff>148910</xdr:rowOff>
    </xdr:from>
    <xdr:to>
      <xdr:col>2</xdr:col>
      <xdr:colOff>195716</xdr:colOff>
      <xdr:row>5</xdr:row>
      <xdr:rowOff>97961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415" y="339410"/>
          <a:ext cx="933301" cy="933301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</xdr:col>
      <xdr:colOff>41276</xdr:colOff>
      <xdr:row>7</xdr:row>
      <xdr:rowOff>42333</xdr:rowOff>
    </xdr:from>
    <xdr:to>
      <xdr:col>2</xdr:col>
      <xdr:colOff>486835</xdr:colOff>
      <xdr:row>8</xdr:row>
      <xdr:rowOff>128058</xdr:rowOff>
    </xdr:to>
    <xdr:sp macro="[0]!BUSCARCLIENTE" textlink="">
      <xdr:nvSpPr>
        <xdr:cNvPr id="4" name="3 Rectángulo redondeado"/>
        <xdr:cNvSpPr/>
      </xdr:nvSpPr>
      <xdr:spPr>
        <a:xfrm>
          <a:off x="845609" y="1598083"/>
          <a:ext cx="1387476" cy="276225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chemeClr val="bg1"/>
              </a:solidFill>
            </a:rPr>
            <a:t>BUSCAR CLIENTE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6" name="5 Rectángulo"/>
        <xdr:cNvSpPr/>
      </xdr:nvSpPr>
      <xdr:spPr>
        <a:xfrm>
          <a:off x="2505075" y="190500"/>
          <a:ext cx="43719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DO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PUBLIMOTO</a:t>
          </a:r>
        </a:p>
      </xdr:txBody>
    </xdr:sp>
    <xdr:clientData/>
  </xdr:twoCellAnchor>
  <xdr:twoCellAnchor>
    <xdr:from>
      <xdr:col>3</xdr:col>
      <xdr:colOff>1015999</xdr:colOff>
      <xdr:row>15</xdr:row>
      <xdr:rowOff>42334</xdr:rowOff>
    </xdr:from>
    <xdr:to>
      <xdr:col>3</xdr:col>
      <xdr:colOff>2370667</xdr:colOff>
      <xdr:row>16</xdr:row>
      <xdr:rowOff>137580</xdr:rowOff>
    </xdr:to>
    <xdr:sp macro="[0]!GUARDAR" textlink="">
      <xdr:nvSpPr>
        <xdr:cNvPr id="5" name="4 Rectángulo redondeado"/>
        <xdr:cNvSpPr/>
      </xdr:nvSpPr>
      <xdr:spPr>
        <a:xfrm>
          <a:off x="3524249" y="3122084"/>
          <a:ext cx="1354668" cy="28574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/>
            <a:t>GUARDAR</a:t>
          </a:r>
        </a:p>
      </xdr:txBody>
    </xdr:sp>
    <xdr:clientData/>
  </xdr:twoCellAnchor>
  <xdr:twoCellAnchor>
    <xdr:from>
      <xdr:col>9</xdr:col>
      <xdr:colOff>687914</xdr:colOff>
      <xdr:row>2</xdr:row>
      <xdr:rowOff>0</xdr:rowOff>
    </xdr:from>
    <xdr:to>
      <xdr:col>12</xdr:col>
      <xdr:colOff>433914</xdr:colOff>
      <xdr:row>3</xdr:row>
      <xdr:rowOff>63500</xdr:rowOff>
    </xdr:to>
    <xdr:sp macro="[0]!AGRCLIENTES" textlink="">
      <xdr:nvSpPr>
        <xdr:cNvPr id="7" name="6 Rectángulo redondeado"/>
        <xdr:cNvSpPr/>
      </xdr:nvSpPr>
      <xdr:spPr>
        <a:xfrm>
          <a:off x="10202331" y="550333"/>
          <a:ext cx="2032000" cy="254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AGREGAR NUEVO</a:t>
          </a:r>
          <a:r>
            <a:rPr lang="es-DO" sz="1200" b="1" baseline="0">
              <a:solidFill>
                <a:sysClr val="windowText" lastClr="000000"/>
              </a:solidFill>
            </a:rPr>
            <a:t> CLIENTE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687913</xdr:colOff>
      <xdr:row>4</xdr:row>
      <xdr:rowOff>31750</xdr:rowOff>
    </xdr:from>
    <xdr:to>
      <xdr:col>12</xdr:col>
      <xdr:colOff>433913</xdr:colOff>
      <xdr:row>5</xdr:row>
      <xdr:rowOff>42333</xdr:rowOff>
    </xdr:to>
    <xdr:sp macro="[0]!AGRARTICULO" textlink="">
      <xdr:nvSpPr>
        <xdr:cNvPr id="8" name="7 Rectángulo redondeado"/>
        <xdr:cNvSpPr/>
      </xdr:nvSpPr>
      <xdr:spPr>
        <a:xfrm>
          <a:off x="10202330" y="963083"/>
          <a:ext cx="2032000" cy="254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AGREGAR NUEVO</a:t>
          </a:r>
          <a:r>
            <a:rPr lang="es-DO" sz="1200" b="1" baseline="0">
              <a:solidFill>
                <a:sysClr val="windowText" lastClr="000000"/>
              </a:solidFill>
            </a:rPr>
            <a:t> ARTICULO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613833</xdr:colOff>
      <xdr:row>0</xdr:row>
      <xdr:rowOff>63499</xdr:rowOff>
    </xdr:from>
    <xdr:to>
      <xdr:col>12</xdr:col>
      <xdr:colOff>497417</xdr:colOff>
      <xdr:row>1</xdr:row>
      <xdr:rowOff>243416</xdr:rowOff>
    </xdr:to>
    <xdr:sp macro="" textlink="">
      <xdr:nvSpPr>
        <xdr:cNvPr id="9" name="8 Rectángulo"/>
        <xdr:cNvSpPr/>
      </xdr:nvSpPr>
      <xdr:spPr>
        <a:xfrm>
          <a:off x="10128250" y="63499"/>
          <a:ext cx="2169584" cy="37041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DO" sz="2000" b="1"/>
            <a:t>MENU</a:t>
          </a:r>
        </a:p>
      </xdr:txBody>
    </xdr:sp>
    <xdr:clientData/>
  </xdr:twoCellAnchor>
  <xdr:twoCellAnchor>
    <xdr:from>
      <xdr:col>9</xdr:col>
      <xdr:colOff>698499</xdr:colOff>
      <xdr:row>5</xdr:row>
      <xdr:rowOff>190499</xdr:rowOff>
    </xdr:from>
    <xdr:to>
      <xdr:col>12</xdr:col>
      <xdr:colOff>423333</xdr:colOff>
      <xdr:row>7</xdr:row>
      <xdr:rowOff>52916</xdr:rowOff>
    </xdr:to>
    <xdr:sp macro="[0]!HACERPAGO" textlink="">
      <xdr:nvSpPr>
        <xdr:cNvPr id="11" name="10 Rectángulo redondeado"/>
        <xdr:cNvSpPr/>
      </xdr:nvSpPr>
      <xdr:spPr>
        <a:xfrm>
          <a:off x="10212916" y="1365249"/>
          <a:ext cx="2010834" cy="24341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HACER</a:t>
          </a:r>
          <a:r>
            <a:rPr lang="es-DO" sz="1200" b="1" baseline="0">
              <a:solidFill>
                <a:sysClr val="windowText" lastClr="000000"/>
              </a:solidFill>
            </a:rPr>
            <a:t> PAGO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730242</xdr:colOff>
      <xdr:row>12</xdr:row>
      <xdr:rowOff>63500</xdr:rowOff>
    </xdr:from>
    <xdr:to>
      <xdr:col>12</xdr:col>
      <xdr:colOff>412741</xdr:colOff>
      <xdr:row>13</xdr:row>
      <xdr:rowOff>116417</xdr:rowOff>
    </xdr:to>
    <xdr:sp macro="[0]!REGISTROSPAGOS1" textlink="">
      <xdr:nvSpPr>
        <xdr:cNvPr id="12" name="11 Rectángulo redondeado"/>
        <xdr:cNvSpPr/>
      </xdr:nvSpPr>
      <xdr:spPr>
        <a:xfrm>
          <a:off x="10244659" y="2571750"/>
          <a:ext cx="1968499" cy="24341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RESTROS</a:t>
          </a:r>
          <a:r>
            <a:rPr lang="es-DO" sz="1200" b="1" baseline="0">
              <a:solidFill>
                <a:sysClr val="windowText" lastClr="000000"/>
              </a:solidFill>
            </a:rPr>
            <a:t> DE PAGOS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455083</xdr:colOff>
      <xdr:row>18</xdr:row>
      <xdr:rowOff>74083</xdr:rowOff>
    </xdr:from>
    <xdr:to>
      <xdr:col>9</xdr:col>
      <xdr:colOff>243416</xdr:colOff>
      <xdr:row>26</xdr:row>
      <xdr:rowOff>52917</xdr:rowOff>
    </xdr:to>
    <xdr:sp macro="[0]!TOTALES" textlink="">
      <xdr:nvSpPr>
        <xdr:cNvPr id="13" name="12 Flecha abajo"/>
        <xdr:cNvSpPr/>
      </xdr:nvSpPr>
      <xdr:spPr>
        <a:xfrm>
          <a:off x="9429750" y="3725333"/>
          <a:ext cx="550333" cy="1502834"/>
        </a:xfrm>
        <a:prstGeom prst="downArrow">
          <a:avLst/>
        </a:prstGeom>
        <a:solidFill>
          <a:srgbClr val="FFFF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400" b="1">
              <a:solidFill>
                <a:sysClr val="windowText" lastClr="000000"/>
              </a:solidFill>
            </a:rPr>
            <a:t>BAJAR</a:t>
          </a:r>
        </a:p>
      </xdr:txBody>
    </xdr:sp>
    <xdr:clientData/>
  </xdr:twoCellAnchor>
  <xdr:twoCellAnchor>
    <xdr:from>
      <xdr:col>8</xdr:col>
      <xdr:colOff>391582</xdr:colOff>
      <xdr:row>46</xdr:row>
      <xdr:rowOff>42333</xdr:rowOff>
    </xdr:from>
    <xdr:to>
      <xdr:col>9</xdr:col>
      <xdr:colOff>201083</xdr:colOff>
      <xdr:row>56</xdr:row>
      <xdr:rowOff>31750</xdr:rowOff>
    </xdr:to>
    <xdr:sp macro="[0]!SUBIR" textlink="">
      <xdr:nvSpPr>
        <xdr:cNvPr id="16" name="15 Flecha arriba"/>
        <xdr:cNvSpPr/>
      </xdr:nvSpPr>
      <xdr:spPr>
        <a:xfrm>
          <a:off x="9366249" y="9027583"/>
          <a:ext cx="571501" cy="1894417"/>
        </a:xfrm>
        <a:prstGeom prst="upArrow">
          <a:avLst/>
        </a:prstGeom>
        <a:solidFill>
          <a:srgbClr val="FFFF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400" b="1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SUBIR</a:t>
          </a:r>
        </a:p>
      </xdr:txBody>
    </xdr:sp>
    <xdr:clientData/>
  </xdr:twoCellAnchor>
  <xdr:twoCellAnchor>
    <xdr:from>
      <xdr:col>9</xdr:col>
      <xdr:colOff>719666</xdr:colOff>
      <xdr:row>10</xdr:row>
      <xdr:rowOff>42336</xdr:rowOff>
    </xdr:from>
    <xdr:to>
      <xdr:col>12</xdr:col>
      <xdr:colOff>412750</xdr:colOff>
      <xdr:row>11</xdr:row>
      <xdr:rowOff>95251</xdr:rowOff>
    </xdr:to>
    <xdr:sp macro="[0]!REGISTROS" textlink="">
      <xdr:nvSpPr>
        <xdr:cNvPr id="17" name="16 Rectángulo redondeado"/>
        <xdr:cNvSpPr/>
      </xdr:nvSpPr>
      <xdr:spPr>
        <a:xfrm>
          <a:off x="10234083" y="2169586"/>
          <a:ext cx="1979084" cy="24341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REGISTROS FACTURA</a:t>
          </a:r>
        </a:p>
      </xdr:txBody>
    </xdr:sp>
    <xdr:clientData/>
  </xdr:twoCellAnchor>
  <xdr:twoCellAnchor>
    <xdr:from>
      <xdr:col>9</xdr:col>
      <xdr:colOff>698499</xdr:colOff>
      <xdr:row>8</xdr:row>
      <xdr:rowOff>31747</xdr:rowOff>
    </xdr:from>
    <xdr:to>
      <xdr:col>12</xdr:col>
      <xdr:colOff>423333</xdr:colOff>
      <xdr:row>9</xdr:row>
      <xdr:rowOff>84664</xdr:rowOff>
    </xdr:to>
    <xdr:sp macro="[0]!RESDEUDA" textlink="">
      <xdr:nvSpPr>
        <xdr:cNvPr id="18" name="17 Rectángulo redondeado"/>
        <xdr:cNvSpPr/>
      </xdr:nvSpPr>
      <xdr:spPr>
        <a:xfrm>
          <a:off x="10212916" y="1777997"/>
          <a:ext cx="2010834" cy="243417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RESUMEN</a:t>
          </a:r>
          <a:r>
            <a:rPr lang="es-DO" sz="1200" b="1" baseline="0">
              <a:solidFill>
                <a:sysClr val="windowText" lastClr="000000"/>
              </a:solidFill>
            </a:rPr>
            <a:t> DE DEUDA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FACTURA" textlink="">
      <xdr:nvSpPr>
        <xdr:cNvPr id="2" name="1 Rectángulo redondeado"/>
        <xdr:cNvSpPr/>
      </xdr:nvSpPr>
      <xdr:spPr>
        <a:xfrm>
          <a:off x="7219950" y="0"/>
          <a:ext cx="1524000" cy="1905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100" b="1"/>
            <a:t>FACTURA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11</xdr:col>
      <xdr:colOff>295275</xdr:colOff>
      <xdr:row>1</xdr:row>
      <xdr:rowOff>0</xdr:rowOff>
    </xdr:to>
    <xdr:sp macro="[0]!FACTURA" textlink="">
      <xdr:nvSpPr>
        <xdr:cNvPr id="2" name="1 Rectángulo redondeado"/>
        <xdr:cNvSpPr/>
      </xdr:nvSpPr>
      <xdr:spPr>
        <a:xfrm>
          <a:off x="9172575" y="0"/>
          <a:ext cx="1057275" cy="1905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100" b="1"/>
            <a:t>FACTURA</a:t>
          </a:r>
        </a:p>
      </xdr:txBody>
    </xdr:sp>
    <xdr:clientData/>
  </xdr:twoCellAnchor>
  <xdr:twoCellAnchor>
    <xdr:from>
      <xdr:col>11</xdr:col>
      <xdr:colOff>504825</xdr:colOff>
      <xdr:row>0</xdr:row>
      <xdr:rowOff>9525</xdr:rowOff>
    </xdr:from>
    <xdr:to>
      <xdr:col>13</xdr:col>
      <xdr:colOff>38100</xdr:colOff>
      <xdr:row>0</xdr:row>
      <xdr:rowOff>180975</xdr:rowOff>
    </xdr:to>
    <xdr:sp macro="[0]!AGRCLIENTES" textlink="">
      <xdr:nvSpPr>
        <xdr:cNvPr id="3" name="2 Rectángulo redondeado"/>
        <xdr:cNvSpPr/>
      </xdr:nvSpPr>
      <xdr:spPr>
        <a:xfrm>
          <a:off x="10439400" y="9525"/>
          <a:ext cx="1057275" cy="1714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100" b="1"/>
            <a:t>AGR. CLIENTE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1724025</xdr:colOff>
      <xdr:row>2</xdr:row>
      <xdr:rowOff>142875</xdr:rowOff>
    </xdr:from>
    <xdr:to>
      <xdr:col>4</xdr:col>
      <xdr:colOff>733425</xdr:colOff>
      <xdr:row>4</xdr:row>
      <xdr:rowOff>104775</xdr:rowOff>
    </xdr:to>
    <xdr:sp macro="[0]!FACTURA" textlink="">
      <xdr:nvSpPr>
        <xdr:cNvPr id="2" name="1 Rectángulo redondeado"/>
        <xdr:cNvSpPr/>
      </xdr:nvSpPr>
      <xdr:spPr>
        <a:xfrm>
          <a:off x="5772150" y="666750"/>
          <a:ext cx="120967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/>
            <a:t>FACTURA</a:t>
          </a:r>
        </a:p>
      </xdr:txBody>
    </xdr:sp>
    <xdr:clientData/>
  </xdr:twoCellAnchor>
  <xdr:twoCellAnchor>
    <xdr:from>
      <xdr:col>1</xdr:col>
      <xdr:colOff>28575</xdr:colOff>
      <xdr:row>2</xdr:row>
      <xdr:rowOff>142875</xdr:rowOff>
    </xdr:from>
    <xdr:to>
      <xdr:col>2</xdr:col>
      <xdr:colOff>314325</xdr:colOff>
      <xdr:row>4</xdr:row>
      <xdr:rowOff>104775</xdr:rowOff>
    </xdr:to>
    <xdr:sp macro="[0]!GUARDARCLI" textlink="">
      <xdr:nvSpPr>
        <xdr:cNvPr id="3" name="2 Rectángulo redondeado"/>
        <xdr:cNvSpPr/>
      </xdr:nvSpPr>
      <xdr:spPr>
        <a:xfrm>
          <a:off x="790575" y="666750"/>
          <a:ext cx="120967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/>
            <a:t>GUARDAR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2</xdr:row>
      <xdr:rowOff>47625</xdr:rowOff>
    </xdr:from>
    <xdr:to>
      <xdr:col>6</xdr:col>
      <xdr:colOff>590550</xdr:colOff>
      <xdr:row>4</xdr:row>
      <xdr:rowOff>9525</xdr:rowOff>
    </xdr:to>
    <xdr:sp macro="[0]!FACTURA" textlink="">
      <xdr:nvSpPr>
        <xdr:cNvPr id="2" name="1 Rectángulo redondeado"/>
        <xdr:cNvSpPr/>
      </xdr:nvSpPr>
      <xdr:spPr>
        <a:xfrm>
          <a:off x="4886325" y="571500"/>
          <a:ext cx="120967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/>
            <a:t>FACTURA</a:t>
          </a:r>
        </a:p>
      </xdr:txBody>
    </xdr:sp>
    <xdr:clientData/>
  </xdr:twoCellAnchor>
  <xdr:twoCellAnchor>
    <xdr:from>
      <xdr:col>1</xdr:col>
      <xdr:colOff>0</xdr:colOff>
      <xdr:row>2</xdr:row>
      <xdr:rowOff>66675</xdr:rowOff>
    </xdr:from>
    <xdr:to>
      <xdr:col>2</xdr:col>
      <xdr:colOff>409575</xdr:colOff>
      <xdr:row>4</xdr:row>
      <xdr:rowOff>28575</xdr:rowOff>
    </xdr:to>
    <xdr:sp macro="[0]!GUARDARART" textlink="">
      <xdr:nvSpPr>
        <xdr:cNvPr id="3" name="2 Rectángulo redondeado"/>
        <xdr:cNvSpPr/>
      </xdr:nvSpPr>
      <xdr:spPr>
        <a:xfrm>
          <a:off x="762000" y="590550"/>
          <a:ext cx="120967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/>
            <a:t>GUARDAR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19051</xdr:rowOff>
    </xdr:from>
    <xdr:to>
      <xdr:col>4</xdr:col>
      <xdr:colOff>1019175</xdr:colOff>
      <xdr:row>1</xdr:row>
      <xdr:rowOff>142875</xdr:rowOff>
    </xdr:to>
    <xdr:sp macro="[0]!FACTURA" textlink="">
      <xdr:nvSpPr>
        <xdr:cNvPr id="2" name="1 Rectángulo redondeado"/>
        <xdr:cNvSpPr/>
      </xdr:nvSpPr>
      <xdr:spPr>
        <a:xfrm>
          <a:off x="1800225" y="19051"/>
          <a:ext cx="1581150" cy="31432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400" b="1"/>
            <a:t>FACTURA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1400176</xdr:colOff>
      <xdr:row>4</xdr:row>
      <xdr:rowOff>0</xdr:rowOff>
    </xdr:from>
    <xdr:to>
      <xdr:col>3</xdr:col>
      <xdr:colOff>704851</xdr:colOff>
      <xdr:row>5</xdr:row>
      <xdr:rowOff>0</xdr:rowOff>
    </xdr:to>
    <xdr:sp macro="[0]!BUSCARCLIENTE2" textlink="">
      <xdr:nvSpPr>
        <xdr:cNvPr id="3" name="2 Rectángulo redondeado"/>
        <xdr:cNvSpPr/>
      </xdr:nvSpPr>
      <xdr:spPr>
        <a:xfrm>
          <a:off x="2628901" y="762000"/>
          <a:ext cx="1581150" cy="285750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chemeClr val="bg1"/>
              </a:solidFill>
            </a:rPr>
            <a:t>BUSCAR CLIENTE</a:t>
          </a:r>
        </a:p>
      </xdr:txBody>
    </xdr:sp>
    <xdr:clientData/>
  </xdr:twoCellAnchor>
  <xdr:twoCellAnchor>
    <xdr:from>
      <xdr:col>3</xdr:col>
      <xdr:colOff>1095376</xdr:colOff>
      <xdr:row>4</xdr:row>
      <xdr:rowOff>0</xdr:rowOff>
    </xdr:from>
    <xdr:to>
      <xdr:col>4</xdr:col>
      <xdr:colOff>1209676</xdr:colOff>
      <xdr:row>4</xdr:row>
      <xdr:rowOff>285749</xdr:rowOff>
    </xdr:to>
    <xdr:sp macro="[0]!GUARDARPAGOS" textlink="">
      <xdr:nvSpPr>
        <xdr:cNvPr id="4" name="3 Rectángulo redondeado"/>
        <xdr:cNvSpPr/>
      </xdr:nvSpPr>
      <xdr:spPr>
        <a:xfrm>
          <a:off x="4600576" y="762000"/>
          <a:ext cx="1276350" cy="2857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/>
            <a:t>GUARDAR</a:t>
          </a:r>
        </a:p>
      </xdr:txBody>
    </xdr:sp>
    <xdr:clientData/>
  </xdr:twoCellAnchor>
  <xdr:twoCellAnchor>
    <xdr:from>
      <xdr:col>5</xdr:col>
      <xdr:colOff>390525</xdr:colOff>
      <xdr:row>4</xdr:row>
      <xdr:rowOff>0</xdr:rowOff>
    </xdr:from>
    <xdr:to>
      <xdr:col>5</xdr:col>
      <xdr:colOff>1419225</xdr:colOff>
      <xdr:row>5</xdr:row>
      <xdr:rowOff>0</xdr:rowOff>
    </xdr:to>
    <xdr:sp macro="[0]!FACTURA" textlink="">
      <xdr:nvSpPr>
        <xdr:cNvPr id="5" name="4 Rectángulo redondeado"/>
        <xdr:cNvSpPr/>
      </xdr:nvSpPr>
      <xdr:spPr>
        <a:xfrm>
          <a:off x="6429375" y="762000"/>
          <a:ext cx="1028700" cy="2857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FACTURA</a:t>
          </a:r>
        </a:p>
      </xdr:txBody>
    </xdr:sp>
    <xdr:clientData/>
  </xdr:twoCellAnchor>
  <xdr:oneCellAnchor>
    <xdr:from>
      <xdr:col>1</xdr:col>
      <xdr:colOff>44030</xdr:colOff>
      <xdr:row>0</xdr:row>
      <xdr:rowOff>38100</xdr:rowOff>
    </xdr:from>
    <xdr:ext cx="3245697" cy="485775"/>
    <xdr:sp macro="" textlink="">
      <xdr:nvSpPr>
        <xdr:cNvPr id="2" name="1 Rectángulo"/>
        <xdr:cNvSpPr/>
      </xdr:nvSpPr>
      <xdr:spPr>
        <a:xfrm>
          <a:off x="282155" y="38100"/>
          <a:ext cx="3245697" cy="485775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s-ES" sz="3600" b="1" cap="all" spc="0">
              <a:ln/>
              <a:solidFill>
                <a:srgbClr val="FF0000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HACER PAGOS</a:t>
          </a:r>
        </a:p>
      </xdr:txBody>
    </xdr:sp>
    <xdr:clientData/>
  </xdr:oneCellAnchor>
  <xdr:twoCellAnchor>
    <xdr:from>
      <xdr:col>6</xdr:col>
      <xdr:colOff>200024</xdr:colOff>
      <xdr:row>4</xdr:row>
      <xdr:rowOff>19050</xdr:rowOff>
    </xdr:from>
    <xdr:to>
      <xdr:col>6</xdr:col>
      <xdr:colOff>1781175</xdr:colOff>
      <xdr:row>5</xdr:row>
      <xdr:rowOff>19050</xdr:rowOff>
    </xdr:to>
    <xdr:sp macro="[0]!RESDEUDA" textlink="">
      <xdr:nvSpPr>
        <xdr:cNvPr id="6" name="5 Rectángulo redondeado"/>
        <xdr:cNvSpPr/>
      </xdr:nvSpPr>
      <xdr:spPr>
        <a:xfrm>
          <a:off x="8029574" y="781050"/>
          <a:ext cx="1581151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RESUMEN DE DEUDA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838200</xdr:colOff>
      <xdr:row>3</xdr:row>
      <xdr:rowOff>123824</xdr:rowOff>
    </xdr:to>
    <xdr:sp macro="[0]!FACTURA" textlink="">
      <xdr:nvSpPr>
        <xdr:cNvPr id="2" name="1 Rectángulo redondeado"/>
        <xdr:cNvSpPr/>
      </xdr:nvSpPr>
      <xdr:spPr>
        <a:xfrm>
          <a:off x="2781300" y="381000"/>
          <a:ext cx="1581150" cy="31432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400" b="1">
              <a:solidFill>
                <a:sysClr val="windowText" lastClr="000000"/>
              </a:solidFill>
            </a:rPr>
            <a:t>FACTURA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30537</xdr:colOff>
      <xdr:row>3</xdr:row>
      <xdr:rowOff>12198</xdr:rowOff>
    </xdr:from>
    <xdr:ext cx="4453783" cy="655885"/>
    <xdr:sp macro="" textlink="">
      <xdr:nvSpPr>
        <xdr:cNvPr id="2" name="1 Rectángulo"/>
        <xdr:cNvSpPr/>
      </xdr:nvSpPr>
      <xdr:spPr>
        <a:xfrm>
          <a:off x="792537" y="583698"/>
          <a:ext cx="4453783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s-ES" sz="3600" b="1" cap="all" spc="0">
              <a:ln/>
              <a:solidFill>
                <a:srgbClr val="002060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Resumen</a:t>
          </a:r>
          <a:r>
            <a:rPr lang="es-ES" sz="3600" b="1" cap="all" spc="0" baseline="0">
              <a:ln/>
              <a:solidFill>
                <a:srgbClr val="002060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 de deudas</a:t>
          </a:r>
          <a:endParaRPr lang="es-ES" sz="3600" b="1" cap="all" spc="0">
            <a:ln/>
            <a:solidFill>
              <a:srgbClr val="002060"/>
            </a:solidFill>
            <a:effectLst>
              <a:outerShdw blurRad="19685" dist="12700" dir="5400000" algn="tl" rotWithShape="0">
                <a:schemeClr val="accent1">
                  <a:satMod val="130000"/>
                  <a:alpha val="60000"/>
                </a:schemeClr>
              </a:outerShdw>
              <a:reflection blurRad="10000" stA="55000" endPos="48000" dist="500" dir="5400000" sy="-100000" algn="bl" rotWithShape="0"/>
            </a:effectLst>
          </a:endParaRPr>
        </a:p>
      </xdr:txBody>
    </xdr:sp>
    <xdr:clientData/>
  </xdr:oneCellAnchor>
  <xdr:twoCellAnchor>
    <xdr:from>
      <xdr:col>6</xdr:col>
      <xdr:colOff>1171576</xdr:colOff>
      <xdr:row>4</xdr:row>
      <xdr:rowOff>0</xdr:rowOff>
    </xdr:from>
    <xdr:to>
      <xdr:col>7</xdr:col>
      <xdr:colOff>647701</xdr:colOff>
      <xdr:row>5</xdr:row>
      <xdr:rowOff>0</xdr:rowOff>
    </xdr:to>
    <xdr:sp macro="[0]!HACERPAGO" textlink="">
      <xdr:nvSpPr>
        <xdr:cNvPr id="3" name="2 Rectángulo redondeado"/>
        <xdr:cNvSpPr/>
      </xdr:nvSpPr>
      <xdr:spPr>
        <a:xfrm>
          <a:off x="5972176" y="762000"/>
          <a:ext cx="1371600" cy="3048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HACER</a:t>
          </a:r>
          <a:r>
            <a:rPr lang="es-DO" sz="1200" b="1" baseline="0">
              <a:solidFill>
                <a:sysClr val="windowText" lastClr="000000"/>
              </a:solidFill>
            </a:rPr>
            <a:t> PAGO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85725</xdr:colOff>
      <xdr:row>4</xdr:row>
      <xdr:rowOff>1</xdr:rowOff>
    </xdr:from>
    <xdr:to>
      <xdr:col>9</xdr:col>
      <xdr:colOff>1609725</xdr:colOff>
      <xdr:row>5</xdr:row>
      <xdr:rowOff>1</xdr:rowOff>
    </xdr:to>
    <xdr:sp macro="[0]!FACTURA" textlink="">
      <xdr:nvSpPr>
        <xdr:cNvPr id="4" name="3 Rectángulo redondeado"/>
        <xdr:cNvSpPr/>
      </xdr:nvSpPr>
      <xdr:spPr>
        <a:xfrm>
          <a:off x="7781925" y="762001"/>
          <a:ext cx="152400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FACTURA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gle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/>
  </sheetPr>
  <dimension ref="A1:I70"/>
  <sheetViews>
    <sheetView zoomScale="90" zoomScaleNormal="90" workbookViewId="0">
      <selection activeCell="D18" sqref="D18"/>
    </sheetView>
  </sheetViews>
  <sheetFormatPr baseColWidth="10" defaultRowHeight="15" x14ac:dyDescent="0.25"/>
  <cols>
    <col min="1" max="1" width="8.7109375" style="10" customWidth="1"/>
    <col min="2" max="2" width="14.140625" style="10" customWidth="1"/>
    <col min="3" max="3" width="11.42578125" style="10"/>
    <col min="4" max="4" width="38.28515625" style="10" customWidth="1"/>
    <col min="5" max="5" width="14.28515625" style="10" customWidth="1"/>
    <col min="6" max="6" width="16.7109375" style="10" customWidth="1"/>
    <col min="7" max="7" width="13.85546875" style="10" bestFit="1" customWidth="1"/>
    <col min="8" max="8" width="14" style="10" customWidth="1"/>
    <col min="9" max="16384" width="11.42578125" style="10"/>
  </cols>
  <sheetData>
    <row r="1" spans="1:9" x14ac:dyDescent="0.25">
      <c r="A1" s="38" t="s">
        <v>13</v>
      </c>
      <c r="B1" s="6"/>
      <c r="C1" s="7"/>
      <c r="D1" s="8"/>
      <c r="E1" s="8"/>
      <c r="F1" s="8"/>
      <c r="G1" s="8"/>
      <c r="H1" s="9"/>
      <c r="I1" s="5">
        <v>3</v>
      </c>
    </row>
    <row r="2" spans="1:9" ht="28.5" x14ac:dyDescent="0.25">
      <c r="A2" s="5"/>
      <c r="B2" s="11"/>
      <c r="C2" s="12"/>
      <c r="D2" s="113"/>
      <c r="E2" s="113"/>
      <c r="F2" s="113"/>
      <c r="G2" s="13"/>
      <c r="H2" s="14"/>
    </row>
    <row r="3" spans="1:9" x14ac:dyDescent="0.25">
      <c r="B3" s="15"/>
      <c r="C3" s="16"/>
      <c r="D3" s="118" t="s">
        <v>47</v>
      </c>
      <c r="E3" s="118"/>
      <c r="F3" s="118"/>
      <c r="G3" s="17"/>
      <c r="H3" s="14"/>
    </row>
    <row r="4" spans="1:9" ht="15" customHeight="1" x14ac:dyDescent="0.25">
      <c r="B4" s="15"/>
      <c r="C4" s="16"/>
      <c r="D4" s="16"/>
      <c r="E4" s="16"/>
      <c r="F4" s="16"/>
      <c r="G4" s="13"/>
      <c r="H4" s="104" t="s">
        <v>42</v>
      </c>
    </row>
    <row r="5" spans="1:9" ht="18.75" x14ac:dyDescent="0.25">
      <c r="B5" s="15"/>
      <c r="C5" s="16"/>
      <c r="D5" s="119"/>
      <c r="E5" s="119"/>
      <c r="F5" s="119"/>
      <c r="G5" s="13"/>
      <c r="H5" s="55">
        <v>3</v>
      </c>
    </row>
    <row r="6" spans="1:9" x14ac:dyDescent="0.25">
      <c r="B6" s="15"/>
      <c r="C6" s="16"/>
      <c r="D6" s="13"/>
      <c r="E6" s="13"/>
      <c r="F6" s="13"/>
      <c r="G6" s="13"/>
      <c r="H6" s="14"/>
    </row>
    <row r="7" spans="1:9" ht="15" customHeight="1" x14ac:dyDescent="0.25">
      <c r="B7" s="11"/>
      <c r="C7" s="16"/>
      <c r="D7" s="16"/>
      <c r="E7" s="16"/>
      <c r="F7" s="16"/>
      <c r="G7" s="16"/>
      <c r="H7" s="102" t="s">
        <v>27</v>
      </c>
    </row>
    <row r="8" spans="1:9" ht="15" customHeight="1" x14ac:dyDescent="0.25">
      <c r="B8" s="11"/>
      <c r="C8" s="16"/>
      <c r="D8" s="16"/>
      <c r="E8" s="16"/>
      <c r="F8" s="16"/>
      <c r="G8" s="16"/>
      <c r="H8" s="22">
        <v>43755</v>
      </c>
    </row>
    <row r="9" spans="1:9" x14ac:dyDescent="0.25">
      <c r="B9" s="11"/>
      <c r="C9" s="13"/>
      <c r="D9" s="13"/>
      <c r="E9" s="13"/>
      <c r="F9" s="13"/>
      <c r="G9" s="13"/>
      <c r="H9" s="14"/>
    </row>
    <row r="10" spans="1:9" x14ac:dyDescent="0.25">
      <c r="B10" s="101" t="s">
        <v>0</v>
      </c>
      <c r="C10" s="114" t="s">
        <v>14</v>
      </c>
      <c r="D10" s="114"/>
      <c r="E10" s="117" t="s">
        <v>18</v>
      </c>
      <c r="F10" s="117"/>
      <c r="G10" s="102" t="s">
        <v>19</v>
      </c>
      <c r="H10" s="18"/>
    </row>
    <row r="11" spans="1:9" ht="15" customHeight="1" x14ac:dyDescent="0.25">
      <c r="B11" s="50" t="str">
        <f>IF(ISERROR(INDEX(NIT,MATCH(C11,NOMBRE,0))),"",INDEX(NIT,MATCH(C11,NOMBRE,0)))</f>
        <v/>
      </c>
      <c r="C11" s="19"/>
      <c r="D11" s="20"/>
      <c r="E11" s="31" t="str">
        <f>IF(ISERROR(INDEX(APODO,MATCH(C11,NOMBRE,0))),"",INDEX(APODO,MATCH(C11,NOMBRE,0)))</f>
        <v/>
      </c>
      <c r="F11" s="20"/>
      <c r="G11" s="33" t="str">
        <f>IF(ISERROR(INDEX(CEDULA,MATCH(C11,NOMBRE,0))),"",INDEX(CEDULA,MATCH(C11,NOMBRE,0)))</f>
        <v/>
      </c>
      <c r="H11" s="23"/>
    </row>
    <row r="12" spans="1:9" ht="15" customHeight="1" x14ac:dyDescent="0.25">
      <c r="B12" s="102" t="s">
        <v>20</v>
      </c>
      <c r="C12" s="115" t="s">
        <v>3</v>
      </c>
      <c r="D12" s="116"/>
      <c r="E12" s="114" t="s">
        <v>2</v>
      </c>
      <c r="F12" s="114"/>
      <c r="G12" s="103" t="s">
        <v>25</v>
      </c>
      <c r="H12" s="18"/>
    </row>
    <row r="13" spans="1:9" ht="15" customHeight="1" x14ac:dyDescent="0.25">
      <c r="B13" s="32" t="str">
        <f>IF(ISERROR(INDEX(PROFESION,MATCH(C11,NOMBRE,0))),"",INDEX(PROFESION,MATCH(C11,NOMBRE,0)))</f>
        <v/>
      </c>
      <c r="C13" s="21" t="str">
        <f>IF(ISERROR(INDEX(DIRECCION,MATCH(C11,NOMBRE,0))),"",INDEX(DIRECCION,MATCH(C11,NOMBRE,0)))</f>
        <v/>
      </c>
      <c r="D13" s="92"/>
      <c r="E13" s="21" t="str">
        <f>IF(ISERROR(INDEX(TELEFONO,MATCH(C11,NOMBRE,0))),"",INDEX(TELEFONO,MATCH(C11,NOMBRE,0)))</f>
        <v/>
      </c>
      <c r="F13" s="93"/>
      <c r="G13" s="26" t="str">
        <f>IF(ISERROR(INDEX(CELULAR,MATCH(C11,NOMBRE,0))),"",INDEX(CELULAR,MATCH(C11,NOMBRE,0)))</f>
        <v/>
      </c>
      <c r="H13" s="24"/>
    </row>
    <row r="14" spans="1:9" ht="15" customHeight="1" x14ac:dyDescent="0.25">
      <c r="B14" s="107" t="s">
        <v>28</v>
      </c>
      <c r="C14" s="21" t="str">
        <f>IF(ISERROR(INDEX(EMAIL,MATCH(C11,NOMBRE,0))),"",INDEX(EMAIL,MATCH(C11,NOMBRE,0)))</f>
        <v/>
      </c>
      <c r="D14" s="43"/>
      <c r="E14" s="13"/>
      <c r="F14" s="13"/>
      <c r="G14" s="13"/>
      <c r="H14" s="14"/>
    </row>
    <row r="15" spans="1:9" ht="15" customHeight="1" x14ac:dyDescent="0.25">
      <c r="B15" s="11"/>
      <c r="C15" s="13"/>
      <c r="D15" s="13"/>
      <c r="E15" s="13"/>
      <c r="F15" s="13"/>
      <c r="G15" s="13"/>
      <c r="H15" s="14"/>
    </row>
    <row r="16" spans="1:9" ht="15" customHeight="1" x14ac:dyDescent="0.25">
      <c r="B16" s="11"/>
      <c r="C16" s="13"/>
      <c r="D16" s="13"/>
      <c r="E16" s="13"/>
      <c r="F16" s="13"/>
      <c r="G16" s="13"/>
      <c r="H16" s="14"/>
    </row>
    <row r="17" spans="2:8" ht="15" customHeight="1" x14ac:dyDescent="0.25">
      <c r="B17" s="11"/>
      <c r="C17" s="13"/>
      <c r="D17" s="13"/>
      <c r="E17" s="13"/>
      <c r="F17" s="13"/>
      <c r="G17" s="13"/>
      <c r="H17" s="14"/>
    </row>
    <row r="18" spans="2:8" x14ac:dyDescent="0.25">
      <c r="B18" s="105" t="s">
        <v>41</v>
      </c>
      <c r="C18" s="106" t="s">
        <v>0</v>
      </c>
      <c r="D18" s="106" t="s">
        <v>30</v>
      </c>
      <c r="E18" s="106" t="s">
        <v>1</v>
      </c>
      <c r="F18" s="106" t="s">
        <v>31</v>
      </c>
      <c r="G18" s="106" t="s">
        <v>4</v>
      </c>
      <c r="H18" s="104" t="s">
        <v>5</v>
      </c>
    </row>
    <row r="19" spans="2:8" x14ac:dyDescent="0.25">
      <c r="B19" s="25">
        <v>1</v>
      </c>
      <c r="C19" s="65" t="str">
        <f t="shared" ref="C19:C66" si="0">IF(ISERROR(INDEX(CODIGOART,MATCH(D19,ARTICULO,0))),"",INDEX(CODIGOART,MATCH(D19,ARTICULO,0)))</f>
        <v/>
      </c>
      <c r="D19" s="26"/>
      <c r="E19" s="34" t="str">
        <f t="shared" ref="E19" si="1">IF(ISERROR(INDEX(UNIDART,MATCH(C19,CODIGOART,0))),"",INDEX(UNIDART,MATCH(C19,CODIGOART,0)))</f>
        <v/>
      </c>
      <c r="F19" s="26"/>
      <c r="G19" s="49" t="str">
        <f t="shared" ref="G19" si="2">IF(ISERROR(INDEX(PRECIOUNT,MATCH(C19,CODIGOART,0))),"",INDEX(PRECIOUNT,MATCH(C19,CODIGOART,0)))</f>
        <v/>
      </c>
      <c r="H19" s="67" t="str">
        <f>IFERROR(F19*G19,"")</f>
        <v/>
      </c>
    </row>
    <row r="20" spans="2:8" x14ac:dyDescent="0.25">
      <c r="B20" s="25">
        <v>2</v>
      </c>
      <c r="C20" s="65" t="str">
        <f t="shared" si="0"/>
        <v/>
      </c>
      <c r="D20" s="26"/>
      <c r="E20" s="34" t="str">
        <f t="shared" ref="E20:E66" si="3">IF(ISERROR(INDEX(UNIDART,MATCH(C20,CODIGOART,0))),"",INDEX(UNIDART,MATCH(C20,CODIGOART,0)))</f>
        <v/>
      </c>
      <c r="F20" s="26"/>
      <c r="G20" s="49" t="str">
        <f t="shared" ref="G20:G66" si="4">IF(ISERROR(INDEX(PRECIOUNT,MATCH(C20,CODIGOART,0))),"",INDEX(PRECIOUNT,MATCH(C20,CODIGOART,0)))</f>
        <v/>
      </c>
      <c r="H20" s="67" t="str">
        <f t="shared" ref="H20:H66" si="5">IFERROR(F20*G20,"")</f>
        <v/>
      </c>
    </row>
    <row r="21" spans="2:8" x14ac:dyDescent="0.25">
      <c r="B21" s="25">
        <v>3</v>
      </c>
      <c r="C21" s="65" t="str">
        <f t="shared" si="0"/>
        <v/>
      </c>
      <c r="D21" s="26"/>
      <c r="E21" s="34" t="str">
        <f t="shared" si="3"/>
        <v/>
      </c>
      <c r="F21" s="26"/>
      <c r="G21" s="49" t="str">
        <f t="shared" si="4"/>
        <v/>
      </c>
      <c r="H21" s="67" t="str">
        <f t="shared" si="5"/>
        <v/>
      </c>
    </row>
    <row r="22" spans="2:8" x14ac:dyDescent="0.25">
      <c r="B22" s="25">
        <v>4</v>
      </c>
      <c r="C22" s="65" t="str">
        <f t="shared" si="0"/>
        <v/>
      </c>
      <c r="D22" s="26"/>
      <c r="E22" s="34" t="str">
        <f t="shared" si="3"/>
        <v/>
      </c>
      <c r="F22" s="26"/>
      <c r="G22" s="49" t="str">
        <f t="shared" si="4"/>
        <v/>
      </c>
      <c r="H22" s="67" t="str">
        <f t="shared" si="5"/>
        <v/>
      </c>
    </row>
    <row r="23" spans="2:8" x14ac:dyDescent="0.25">
      <c r="B23" s="25">
        <v>5</v>
      </c>
      <c r="C23" s="65" t="str">
        <f t="shared" si="0"/>
        <v/>
      </c>
      <c r="D23" s="26"/>
      <c r="E23" s="34" t="str">
        <f t="shared" si="3"/>
        <v/>
      </c>
      <c r="F23" s="26"/>
      <c r="G23" s="49" t="str">
        <f t="shared" si="4"/>
        <v/>
      </c>
      <c r="H23" s="67" t="str">
        <f t="shared" si="5"/>
        <v/>
      </c>
    </row>
    <row r="24" spans="2:8" x14ac:dyDescent="0.25">
      <c r="B24" s="25">
        <v>6</v>
      </c>
      <c r="C24" s="65" t="str">
        <f t="shared" si="0"/>
        <v/>
      </c>
      <c r="D24" s="26"/>
      <c r="E24" s="34" t="str">
        <f t="shared" si="3"/>
        <v/>
      </c>
      <c r="F24" s="26"/>
      <c r="G24" s="49" t="str">
        <f t="shared" si="4"/>
        <v/>
      </c>
      <c r="H24" s="67" t="str">
        <f t="shared" si="5"/>
        <v/>
      </c>
    </row>
    <row r="25" spans="2:8" x14ac:dyDescent="0.25">
      <c r="B25" s="25">
        <v>7</v>
      </c>
      <c r="C25" s="65" t="str">
        <f t="shared" si="0"/>
        <v/>
      </c>
      <c r="D25" s="26"/>
      <c r="E25" s="34" t="str">
        <f t="shared" si="3"/>
        <v/>
      </c>
      <c r="F25" s="26"/>
      <c r="G25" s="49" t="str">
        <f t="shared" si="4"/>
        <v/>
      </c>
      <c r="H25" s="67" t="str">
        <f t="shared" si="5"/>
        <v/>
      </c>
    </row>
    <row r="26" spans="2:8" x14ac:dyDescent="0.25">
      <c r="B26" s="25">
        <v>8</v>
      </c>
      <c r="C26" s="65" t="str">
        <f t="shared" si="0"/>
        <v/>
      </c>
      <c r="D26" s="26"/>
      <c r="E26" s="34" t="str">
        <f t="shared" si="3"/>
        <v/>
      </c>
      <c r="F26" s="26"/>
      <c r="G26" s="49" t="str">
        <f t="shared" si="4"/>
        <v/>
      </c>
      <c r="H26" s="67" t="str">
        <f t="shared" si="5"/>
        <v/>
      </c>
    </row>
    <row r="27" spans="2:8" x14ac:dyDescent="0.25">
      <c r="B27" s="25">
        <v>9</v>
      </c>
      <c r="C27" s="65" t="str">
        <f t="shared" si="0"/>
        <v/>
      </c>
      <c r="D27" s="26"/>
      <c r="E27" s="34" t="str">
        <f t="shared" si="3"/>
        <v/>
      </c>
      <c r="F27" s="26"/>
      <c r="G27" s="49" t="str">
        <f t="shared" si="4"/>
        <v/>
      </c>
      <c r="H27" s="67" t="str">
        <f t="shared" si="5"/>
        <v/>
      </c>
    </row>
    <row r="28" spans="2:8" x14ac:dyDescent="0.25">
      <c r="B28" s="25">
        <v>10</v>
      </c>
      <c r="C28" s="65" t="str">
        <f t="shared" si="0"/>
        <v/>
      </c>
      <c r="D28" s="26"/>
      <c r="E28" s="34" t="str">
        <f t="shared" si="3"/>
        <v/>
      </c>
      <c r="F28" s="26"/>
      <c r="G28" s="49" t="str">
        <f t="shared" si="4"/>
        <v/>
      </c>
      <c r="H28" s="67" t="str">
        <f t="shared" si="5"/>
        <v/>
      </c>
    </row>
    <row r="29" spans="2:8" x14ac:dyDescent="0.25">
      <c r="B29" s="25">
        <v>11</v>
      </c>
      <c r="C29" s="65" t="str">
        <f t="shared" si="0"/>
        <v/>
      </c>
      <c r="D29" s="26"/>
      <c r="E29" s="34" t="str">
        <f t="shared" si="3"/>
        <v/>
      </c>
      <c r="F29" s="26"/>
      <c r="G29" s="49" t="str">
        <f t="shared" si="4"/>
        <v/>
      </c>
      <c r="H29" s="67" t="str">
        <f t="shared" si="5"/>
        <v/>
      </c>
    </row>
    <row r="30" spans="2:8" x14ac:dyDescent="0.25">
      <c r="B30" s="25">
        <v>12</v>
      </c>
      <c r="C30" s="65" t="str">
        <f t="shared" si="0"/>
        <v/>
      </c>
      <c r="D30" s="26"/>
      <c r="E30" s="34" t="str">
        <f t="shared" si="3"/>
        <v/>
      </c>
      <c r="F30" s="26"/>
      <c r="G30" s="49" t="str">
        <f t="shared" si="4"/>
        <v/>
      </c>
      <c r="H30" s="67" t="str">
        <f t="shared" si="5"/>
        <v/>
      </c>
    </row>
    <row r="31" spans="2:8" x14ac:dyDescent="0.25">
      <c r="B31" s="25">
        <v>13</v>
      </c>
      <c r="C31" s="65" t="str">
        <f t="shared" si="0"/>
        <v/>
      </c>
      <c r="D31" s="26"/>
      <c r="E31" s="34" t="str">
        <f t="shared" si="3"/>
        <v/>
      </c>
      <c r="F31" s="26"/>
      <c r="G31" s="49" t="str">
        <f t="shared" si="4"/>
        <v/>
      </c>
      <c r="H31" s="67" t="str">
        <f t="shared" si="5"/>
        <v/>
      </c>
    </row>
    <row r="32" spans="2:8" x14ac:dyDescent="0.25">
      <c r="B32" s="25">
        <v>14</v>
      </c>
      <c r="C32" s="65" t="str">
        <f t="shared" si="0"/>
        <v/>
      </c>
      <c r="D32" s="26"/>
      <c r="E32" s="34" t="str">
        <f t="shared" si="3"/>
        <v/>
      </c>
      <c r="F32" s="26"/>
      <c r="G32" s="49" t="str">
        <f t="shared" si="4"/>
        <v/>
      </c>
      <c r="H32" s="67" t="str">
        <f t="shared" si="5"/>
        <v/>
      </c>
    </row>
    <row r="33" spans="2:8" x14ac:dyDescent="0.25">
      <c r="B33" s="25">
        <v>15</v>
      </c>
      <c r="C33" s="65" t="str">
        <f t="shared" si="0"/>
        <v/>
      </c>
      <c r="D33" s="26"/>
      <c r="E33" s="34" t="str">
        <f t="shared" si="3"/>
        <v/>
      </c>
      <c r="F33" s="26"/>
      <c r="G33" s="49" t="str">
        <f t="shared" si="4"/>
        <v/>
      </c>
      <c r="H33" s="67" t="str">
        <f t="shared" si="5"/>
        <v/>
      </c>
    </row>
    <row r="34" spans="2:8" x14ac:dyDescent="0.25">
      <c r="B34" s="25">
        <v>16</v>
      </c>
      <c r="C34" s="65" t="str">
        <f t="shared" si="0"/>
        <v/>
      </c>
      <c r="D34" s="26"/>
      <c r="E34" s="34" t="str">
        <f t="shared" si="3"/>
        <v/>
      </c>
      <c r="F34" s="26"/>
      <c r="G34" s="49" t="str">
        <f t="shared" si="4"/>
        <v/>
      </c>
      <c r="H34" s="67" t="str">
        <f t="shared" si="5"/>
        <v/>
      </c>
    </row>
    <row r="35" spans="2:8" x14ac:dyDescent="0.25">
      <c r="B35" s="25">
        <v>17</v>
      </c>
      <c r="C35" s="65" t="str">
        <f t="shared" si="0"/>
        <v/>
      </c>
      <c r="D35" s="26"/>
      <c r="E35" s="34" t="str">
        <f t="shared" si="3"/>
        <v/>
      </c>
      <c r="F35" s="26"/>
      <c r="G35" s="49" t="str">
        <f t="shared" si="4"/>
        <v/>
      </c>
      <c r="H35" s="67" t="str">
        <f t="shared" si="5"/>
        <v/>
      </c>
    </row>
    <row r="36" spans="2:8" x14ac:dyDescent="0.25">
      <c r="B36" s="25">
        <v>18</v>
      </c>
      <c r="C36" s="65" t="str">
        <f t="shared" si="0"/>
        <v/>
      </c>
      <c r="D36" s="26"/>
      <c r="E36" s="34" t="str">
        <f t="shared" si="3"/>
        <v/>
      </c>
      <c r="F36" s="26"/>
      <c r="G36" s="49" t="str">
        <f t="shared" si="4"/>
        <v/>
      </c>
      <c r="H36" s="67" t="str">
        <f t="shared" si="5"/>
        <v/>
      </c>
    </row>
    <row r="37" spans="2:8" x14ac:dyDescent="0.25">
      <c r="B37" s="25">
        <v>19</v>
      </c>
      <c r="C37" s="65" t="str">
        <f t="shared" si="0"/>
        <v/>
      </c>
      <c r="D37" s="26"/>
      <c r="E37" s="34" t="str">
        <f t="shared" si="3"/>
        <v/>
      </c>
      <c r="F37" s="26"/>
      <c r="G37" s="49" t="str">
        <f t="shared" si="4"/>
        <v/>
      </c>
      <c r="H37" s="67" t="str">
        <f t="shared" si="5"/>
        <v/>
      </c>
    </row>
    <row r="38" spans="2:8" x14ac:dyDescent="0.25">
      <c r="B38" s="25">
        <v>20</v>
      </c>
      <c r="C38" s="65" t="str">
        <f t="shared" si="0"/>
        <v/>
      </c>
      <c r="D38" s="26"/>
      <c r="E38" s="34" t="str">
        <f t="shared" si="3"/>
        <v/>
      </c>
      <c r="F38" s="26"/>
      <c r="G38" s="49" t="str">
        <f t="shared" si="4"/>
        <v/>
      </c>
      <c r="H38" s="67" t="str">
        <f t="shared" si="5"/>
        <v/>
      </c>
    </row>
    <row r="39" spans="2:8" x14ac:dyDescent="0.25">
      <c r="B39" s="25">
        <v>21</v>
      </c>
      <c r="C39" s="65" t="str">
        <f t="shared" si="0"/>
        <v/>
      </c>
      <c r="D39" s="26"/>
      <c r="E39" s="34" t="str">
        <f t="shared" si="3"/>
        <v/>
      </c>
      <c r="F39" s="26"/>
      <c r="G39" s="49" t="str">
        <f t="shared" si="4"/>
        <v/>
      </c>
      <c r="H39" s="67" t="str">
        <f t="shared" si="5"/>
        <v/>
      </c>
    </row>
    <row r="40" spans="2:8" x14ac:dyDescent="0.25">
      <c r="B40" s="25">
        <v>22</v>
      </c>
      <c r="C40" s="65" t="str">
        <f t="shared" si="0"/>
        <v/>
      </c>
      <c r="D40" s="26"/>
      <c r="E40" s="34" t="str">
        <f t="shared" si="3"/>
        <v/>
      </c>
      <c r="F40" s="26"/>
      <c r="G40" s="49" t="str">
        <f t="shared" si="4"/>
        <v/>
      </c>
      <c r="H40" s="67" t="str">
        <f t="shared" si="5"/>
        <v/>
      </c>
    </row>
    <row r="41" spans="2:8" x14ac:dyDescent="0.25">
      <c r="B41" s="25">
        <v>23</v>
      </c>
      <c r="C41" s="65" t="str">
        <f t="shared" si="0"/>
        <v/>
      </c>
      <c r="D41" s="26"/>
      <c r="E41" s="34" t="str">
        <f t="shared" si="3"/>
        <v/>
      </c>
      <c r="F41" s="26"/>
      <c r="G41" s="49" t="str">
        <f t="shared" si="4"/>
        <v/>
      </c>
      <c r="H41" s="67" t="str">
        <f t="shared" si="5"/>
        <v/>
      </c>
    </row>
    <row r="42" spans="2:8" x14ac:dyDescent="0.25">
      <c r="B42" s="25">
        <v>24</v>
      </c>
      <c r="C42" s="65" t="str">
        <f t="shared" si="0"/>
        <v/>
      </c>
      <c r="D42" s="26"/>
      <c r="E42" s="34" t="str">
        <f t="shared" si="3"/>
        <v/>
      </c>
      <c r="F42" s="26"/>
      <c r="G42" s="49" t="str">
        <f t="shared" si="4"/>
        <v/>
      </c>
      <c r="H42" s="67" t="str">
        <f t="shared" si="5"/>
        <v/>
      </c>
    </row>
    <row r="43" spans="2:8" x14ac:dyDescent="0.25">
      <c r="B43" s="25">
        <v>25</v>
      </c>
      <c r="C43" s="65" t="str">
        <f t="shared" si="0"/>
        <v/>
      </c>
      <c r="D43" s="26"/>
      <c r="E43" s="34" t="str">
        <f t="shared" si="3"/>
        <v/>
      </c>
      <c r="F43" s="26"/>
      <c r="G43" s="49" t="str">
        <f t="shared" si="4"/>
        <v/>
      </c>
      <c r="H43" s="67" t="str">
        <f t="shared" si="5"/>
        <v/>
      </c>
    </row>
    <row r="44" spans="2:8" x14ac:dyDescent="0.25">
      <c r="B44" s="25">
        <v>26</v>
      </c>
      <c r="C44" s="65" t="str">
        <f t="shared" si="0"/>
        <v/>
      </c>
      <c r="D44" s="26"/>
      <c r="E44" s="34" t="str">
        <f t="shared" si="3"/>
        <v/>
      </c>
      <c r="F44" s="26"/>
      <c r="G44" s="49" t="str">
        <f t="shared" si="4"/>
        <v/>
      </c>
      <c r="H44" s="67" t="str">
        <f t="shared" si="5"/>
        <v/>
      </c>
    </row>
    <row r="45" spans="2:8" x14ac:dyDescent="0.25">
      <c r="B45" s="25">
        <v>27</v>
      </c>
      <c r="C45" s="65" t="str">
        <f t="shared" si="0"/>
        <v/>
      </c>
      <c r="D45" s="26"/>
      <c r="E45" s="34" t="str">
        <f t="shared" si="3"/>
        <v/>
      </c>
      <c r="F45" s="26"/>
      <c r="G45" s="49" t="str">
        <f t="shared" si="4"/>
        <v/>
      </c>
      <c r="H45" s="67" t="str">
        <f t="shared" si="5"/>
        <v/>
      </c>
    </row>
    <row r="46" spans="2:8" x14ac:dyDescent="0.25">
      <c r="B46" s="25">
        <v>28</v>
      </c>
      <c r="C46" s="65" t="str">
        <f t="shared" si="0"/>
        <v/>
      </c>
      <c r="D46" s="26"/>
      <c r="E46" s="34" t="str">
        <f t="shared" si="3"/>
        <v/>
      </c>
      <c r="F46" s="26"/>
      <c r="G46" s="49" t="str">
        <f t="shared" si="4"/>
        <v/>
      </c>
      <c r="H46" s="67" t="str">
        <f t="shared" si="5"/>
        <v/>
      </c>
    </row>
    <row r="47" spans="2:8" x14ac:dyDescent="0.25">
      <c r="B47" s="25">
        <v>29</v>
      </c>
      <c r="C47" s="65" t="str">
        <f t="shared" si="0"/>
        <v/>
      </c>
      <c r="D47" s="26"/>
      <c r="E47" s="34" t="str">
        <f t="shared" si="3"/>
        <v/>
      </c>
      <c r="F47" s="26"/>
      <c r="G47" s="49" t="str">
        <f t="shared" si="4"/>
        <v/>
      </c>
      <c r="H47" s="67" t="str">
        <f t="shared" si="5"/>
        <v/>
      </c>
    </row>
    <row r="48" spans="2:8" x14ac:dyDescent="0.25">
      <c r="B48" s="25">
        <v>30</v>
      </c>
      <c r="C48" s="65" t="str">
        <f t="shared" si="0"/>
        <v/>
      </c>
      <c r="D48" s="26"/>
      <c r="E48" s="34" t="str">
        <f t="shared" si="3"/>
        <v/>
      </c>
      <c r="F48" s="26"/>
      <c r="G48" s="49" t="str">
        <f t="shared" si="4"/>
        <v/>
      </c>
      <c r="H48" s="67" t="str">
        <f t="shared" si="5"/>
        <v/>
      </c>
    </row>
    <row r="49" spans="2:8" x14ac:dyDescent="0.25">
      <c r="B49" s="25">
        <v>31</v>
      </c>
      <c r="C49" s="65" t="str">
        <f t="shared" si="0"/>
        <v/>
      </c>
      <c r="D49" s="26"/>
      <c r="E49" s="34" t="str">
        <f t="shared" si="3"/>
        <v/>
      </c>
      <c r="F49" s="26"/>
      <c r="G49" s="49" t="str">
        <f t="shared" si="4"/>
        <v/>
      </c>
      <c r="H49" s="67" t="str">
        <f t="shared" si="5"/>
        <v/>
      </c>
    </row>
    <row r="50" spans="2:8" x14ac:dyDescent="0.25">
      <c r="B50" s="25">
        <v>32</v>
      </c>
      <c r="C50" s="65" t="str">
        <f t="shared" si="0"/>
        <v/>
      </c>
      <c r="D50" s="26"/>
      <c r="E50" s="34" t="str">
        <f t="shared" si="3"/>
        <v/>
      </c>
      <c r="F50" s="26"/>
      <c r="G50" s="49" t="str">
        <f t="shared" si="4"/>
        <v/>
      </c>
      <c r="H50" s="67" t="str">
        <f t="shared" si="5"/>
        <v/>
      </c>
    </row>
    <row r="51" spans="2:8" x14ac:dyDescent="0.25">
      <c r="B51" s="25">
        <v>33</v>
      </c>
      <c r="C51" s="65" t="str">
        <f t="shared" si="0"/>
        <v/>
      </c>
      <c r="D51" s="26"/>
      <c r="E51" s="34" t="str">
        <f t="shared" si="3"/>
        <v/>
      </c>
      <c r="F51" s="26"/>
      <c r="G51" s="49" t="str">
        <f t="shared" si="4"/>
        <v/>
      </c>
      <c r="H51" s="67" t="str">
        <f t="shared" si="5"/>
        <v/>
      </c>
    </row>
    <row r="52" spans="2:8" x14ac:dyDescent="0.25">
      <c r="B52" s="25">
        <v>34</v>
      </c>
      <c r="C52" s="65" t="str">
        <f t="shared" si="0"/>
        <v/>
      </c>
      <c r="D52" s="26"/>
      <c r="E52" s="34" t="str">
        <f t="shared" si="3"/>
        <v/>
      </c>
      <c r="F52" s="26"/>
      <c r="G52" s="49" t="str">
        <f t="shared" si="4"/>
        <v/>
      </c>
      <c r="H52" s="67" t="str">
        <f t="shared" si="5"/>
        <v/>
      </c>
    </row>
    <row r="53" spans="2:8" x14ac:dyDescent="0.25">
      <c r="B53" s="25">
        <v>35</v>
      </c>
      <c r="C53" s="65" t="str">
        <f t="shared" si="0"/>
        <v/>
      </c>
      <c r="D53" s="26"/>
      <c r="E53" s="34" t="str">
        <f t="shared" si="3"/>
        <v/>
      </c>
      <c r="F53" s="26"/>
      <c r="G53" s="49" t="str">
        <f t="shared" si="4"/>
        <v/>
      </c>
      <c r="H53" s="67" t="str">
        <f t="shared" si="5"/>
        <v/>
      </c>
    </row>
    <row r="54" spans="2:8" ht="15" customHeight="1" x14ac:dyDescent="0.25">
      <c r="B54" s="25">
        <v>36</v>
      </c>
      <c r="C54" s="65" t="str">
        <f t="shared" si="0"/>
        <v/>
      </c>
      <c r="D54" s="26"/>
      <c r="E54" s="34" t="str">
        <f t="shared" si="3"/>
        <v/>
      </c>
      <c r="F54" s="26"/>
      <c r="G54" s="49" t="str">
        <f t="shared" si="4"/>
        <v/>
      </c>
      <c r="H54" s="67" t="str">
        <f t="shared" si="5"/>
        <v/>
      </c>
    </row>
    <row r="55" spans="2:8" x14ac:dyDescent="0.25">
      <c r="B55" s="25">
        <v>37</v>
      </c>
      <c r="C55" s="65" t="str">
        <f t="shared" si="0"/>
        <v/>
      </c>
      <c r="D55" s="26"/>
      <c r="E55" s="34" t="str">
        <f t="shared" si="3"/>
        <v/>
      </c>
      <c r="F55" s="26"/>
      <c r="G55" s="49" t="str">
        <f t="shared" si="4"/>
        <v/>
      </c>
      <c r="H55" s="67" t="str">
        <f t="shared" si="5"/>
        <v/>
      </c>
    </row>
    <row r="56" spans="2:8" x14ac:dyDescent="0.25">
      <c r="B56" s="25">
        <v>38</v>
      </c>
      <c r="C56" s="65" t="str">
        <f t="shared" si="0"/>
        <v/>
      </c>
      <c r="D56" s="26"/>
      <c r="E56" s="34" t="str">
        <f t="shared" si="3"/>
        <v/>
      </c>
      <c r="F56" s="26"/>
      <c r="G56" s="49" t="str">
        <f t="shared" si="4"/>
        <v/>
      </c>
      <c r="H56" s="67" t="str">
        <f t="shared" si="5"/>
        <v/>
      </c>
    </row>
    <row r="57" spans="2:8" x14ac:dyDescent="0.25">
      <c r="B57" s="25">
        <v>39</v>
      </c>
      <c r="C57" s="65" t="str">
        <f t="shared" si="0"/>
        <v/>
      </c>
      <c r="D57" s="26"/>
      <c r="E57" s="34" t="str">
        <f t="shared" si="3"/>
        <v/>
      </c>
      <c r="F57" s="26"/>
      <c r="G57" s="49" t="str">
        <f t="shared" si="4"/>
        <v/>
      </c>
      <c r="H57" s="67" t="str">
        <f t="shared" si="5"/>
        <v/>
      </c>
    </row>
    <row r="58" spans="2:8" x14ac:dyDescent="0.25">
      <c r="B58" s="25">
        <v>40</v>
      </c>
      <c r="C58" s="65" t="str">
        <f t="shared" si="0"/>
        <v/>
      </c>
      <c r="D58" s="26"/>
      <c r="E58" s="34" t="str">
        <f t="shared" si="3"/>
        <v/>
      </c>
      <c r="F58" s="26"/>
      <c r="G58" s="49" t="str">
        <f t="shared" si="4"/>
        <v/>
      </c>
      <c r="H58" s="67" t="str">
        <f t="shared" si="5"/>
        <v/>
      </c>
    </row>
    <row r="59" spans="2:8" x14ac:dyDescent="0.25">
      <c r="B59" s="25">
        <v>41</v>
      </c>
      <c r="C59" s="65" t="str">
        <f t="shared" si="0"/>
        <v/>
      </c>
      <c r="D59" s="26"/>
      <c r="E59" s="34" t="str">
        <f t="shared" si="3"/>
        <v/>
      </c>
      <c r="F59" s="26"/>
      <c r="G59" s="49" t="str">
        <f t="shared" si="4"/>
        <v/>
      </c>
      <c r="H59" s="67" t="str">
        <f t="shared" si="5"/>
        <v/>
      </c>
    </row>
    <row r="60" spans="2:8" x14ac:dyDescent="0.25">
      <c r="B60" s="25">
        <v>42</v>
      </c>
      <c r="C60" s="65" t="str">
        <f t="shared" si="0"/>
        <v/>
      </c>
      <c r="D60" s="26"/>
      <c r="E60" s="34" t="str">
        <f t="shared" si="3"/>
        <v/>
      </c>
      <c r="F60" s="26"/>
      <c r="G60" s="49" t="str">
        <f t="shared" si="4"/>
        <v/>
      </c>
      <c r="H60" s="67" t="str">
        <f t="shared" si="5"/>
        <v/>
      </c>
    </row>
    <row r="61" spans="2:8" x14ac:dyDescent="0.25">
      <c r="B61" s="25">
        <v>43</v>
      </c>
      <c r="C61" s="65" t="str">
        <f t="shared" si="0"/>
        <v/>
      </c>
      <c r="D61" s="26"/>
      <c r="E61" s="34" t="str">
        <f t="shared" si="3"/>
        <v/>
      </c>
      <c r="F61" s="26"/>
      <c r="G61" s="49" t="str">
        <f t="shared" si="4"/>
        <v/>
      </c>
      <c r="H61" s="67" t="str">
        <f t="shared" si="5"/>
        <v/>
      </c>
    </row>
    <row r="62" spans="2:8" x14ac:dyDescent="0.25">
      <c r="B62" s="25">
        <v>44</v>
      </c>
      <c r="C62" s="65" t="str">
        <f t="shared" si="0"/>
        <v/>
      </c>
      <c r="D62" s="26"/>
      <c r="E62" s="34" t="str">
        <f t="shared" si="3"/>
        <v/>
      </c>
      <c r="F62" s="26"/>
      <c r="G62" s="49" t="str">
        <f t="shared" si="4"/>
        <v/>
      </c>
      <c r="H62" s="67" t="str">
        <f t="shared" si="5"/>
        <v/>
      </c>
    </row>
    <row r="63" spans="2:8" x14ac:dyDescent="0.25">
      <c r="B63" s="25">
        <v>45</v>
      </c>
      <c r="C63" s="65" t="str">
        <f t="shared" si="0"/>
        <v/>
      </c>
      <c r="D63" s="26"/>
      <c r="E63" s="34" t="str">
        <f t="shared" si="3"/>
        <v/>
      </c>
      <c r="F63" s="26"/>
      <c r="G63" s="49" t="str">
        <f t="shared" si="4"/>
        <v/>
      </c>
      <c r="H63" s="67" t="str">
        <f t="shared" si="5"/>
        <v/>
      </c>
    </row>
    <row r="64" spans="2:8" x14ac:dyDescent="0.25">
      <c r="B64" s="25">
        <v>46</v>
      </c>
      <c r="C64" s="65" t="str">
        <f t="shared" si="0"/>
        <v/>
      </c>
      <c r="D64" s="26"/>
      <c r="E64" s="34" t="str">
        <f t="shared" si="3"/>
        <v/>
      </c>
      <c r="F64" s="26"/>
      <c r="G64" s="49" t="str">
        <f t="shared" si="4"/>
        <v/>
      </c>
      <c r="H64" s="67" t="str">
        <f t="shared" si="5"/>
        <v/>
      </c>
    </row>
    <row r="65" spans="2:8" x14ac:dyDescent="0.25">
      <c r="B65" s="25">
        <v>47</v>
      </c>
      <c r="C65" s="65" t="str">
        <f t="shared" si="0"/>
        <v/>
      </c>
      <c r="D65" s="26"/>
      <c r="E65" s="34" t="str">
        <f t="shared" si="3"/>
        <v/>
      </c>
      <c r="F65" s="26"/>
      <c r="G65" s="49" t="str">
        <f t="shared" si="4"/>
        <v/>
      </c>
      <c r="H65" s="67" t="str">
        <f t="shared" si="5"/>
        <v/>
      </c>
    </row>
    <row r="66" spans="2:8" x14ac:dyDescent="0.25">
      <c r="B66" s="25">
        <v>48</v>
      </c>
      <c r="C66" s="65" t="str">
        <f t="shared" si="0"/>
        <v/>
      </c>
      <c r="D66" s="26"/>
      <c r="E66" s="34" t="str">
        <f t="shared" si="3"/>
        <v/>
      </c>
      <c r="F66" s="26"/>
      <c r="G66" s="49" t="str">
        <f t="shared" si="4"/>
        <v/>
      </c>
      <c r="H66" s="67" t="str">
        <f t="shared" si="5"/>
        <v/>
      </c>
    </row>
    <row r="67" spans="2:8" ht="15" customHeight="1" x14ac:dyDescent="0.25">
      <c r="B67" s="56"/>
      <c r="C67" s="57"/>
      <c r="D67" s="57"/>
      <c r="E67" s="57"/>
      <c r="F67" s="58"/>
      <c r="G67" s="97" t="s">
        <v>44</v>
      </c>
      <c r="H67" s="98">
        <f>SUM(H19:H66)</f>
        <v>0</v>
      </c>
    </row>
    <row r="68" spans="2:8" x14ac:dyDescent="0.25">
      <c r="B68" s="35" t="s">
        <v>43</v>
      </c>
      <c r="C68" s="36"/>
      <c r="D68" s="36"/>
      <c r="E68" s="27"/>
      <c r="F68" s="27"/>
      <c r="G68" s="27"/>
      <c r="H68" s="59"/>
    </row>
    <row r="69" spans="2:8" ht="15" customHeight="1" x14ac:dyDescent="0.25">
      <c r="B69" s="111" t="s">
        <v>49</v>
      </c>
      <c r="C69" s="112"/>
      <c r="D69" s="37" t="s">
        <v>48</v>
      </c>
      <c r="E69" s="27"/>
      <c r="F69" s="27"/>
      <c r="G69" s="27"/>
      <c r="H69" s="60"/>
    </row>
    <row r="70" spans="2:8" ht="15.75" thickBot="1" x14ac:dyDescent="0.3">
      <c r="B70" s="28"/>
      <c r="C70" s="29"/>
      <c r="D70" s="29"/>
      <c r="E70" s="29"/>
      <c r="F70" s="29"/>
      <c r="G70" s="29"/>
      <c r="H70" s="30"/>
    </row>
  </sheetData>
  <sheetProtection formatCells="0" formatColumns="0" formatRows="0" insertHyperlinks="0" sort="0" autoFilter="0" pivotTables="0"/>
  <mergeCells count="8">
    <mergeCell ref="B69:C69"/>
    <mergeCell ref="D2:F2"/>
    <mergeCell ref="E12:F12"/>
    <mergeCell ref="C10:D10"/>
    <mergeCell ref="C12:D12"/>
    <mergeCell ref="E10:F10"/>
    <mergeCell ref="D3:F3"/>
    <mergeCell ref="D5:F5"/>
  </mergeCells>
  <conditionalFormatting sqref="D20:D66">
    <cfRule type="duplicateValues" dxfId="5" priority="11"/>
  </conditionalFormatting>
  <conditionalFormatting sqref="F19:F66">
    <cfRule type="expression" dxfId="4" priority="1">
      <formula>OR(AND(D19&lt;&gt;"",F19=""),AND(F19&lt;&gt;"",D19=""))</formula>
    </cfRule>
  </conditionalFormatting>
  <conditionalFormatting sqref="D19">
    <cfRule type="duplicateValues" dxfId="3" priority="2"/>
  </conditionalFormatting>
  <dataValidations count="1">
    <dataValidation type="list" allowBlank="1" showInputMessage="1" showErrorMessage="1" sqref="D19:D66">
      <formula1>ARTICULO</formula1>
    </dataValidation>
  </dataValidations>
  <hyperlinks>
    <hyperlink ref="D69" r:id="rId1"/>
  </hyperlinks>
  <pageMargins left="0.82677165354330717" right="0.23622047244094491" top="0" bottom="0.74803149606299213" header="0.31496062992125984" footer="0.31496062992125984"/>
  <pageSetup paperSize="9" scale="72" orientation="portrait" horizontalDpi="4294967293" r:id="rId2"/>
  <ignoredErrors>
    <ignoredError sqref="C13:C14 E13:G13" unlockedFormula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5"/>
  <sheetViews>
    <sheetView workbookViewId="0">
      <selection activeCell="A2" sqref="A2"/>
    </sheetView>
  </sheetViews>
  <sheetFormatPr baseColWidth="10" defaultRowHeight="15" x14ac:dyDescent="0.25"/>
  <cols>
    <col min="1" max="1" width="12" style="52" bestFit="1" customWidth="1"/>
    <col min="2" max="2" width="38.7109375" style="3" bestFit="1" customWidth="1"/>
    <col min="3" max="3" width="8.140625" style="3" bestFit="1" customWidth="1"/>
    <col min="4" max="4" width="13.28515625" style="4" customWidth="1"/>
    <col min="5" max="5" width="20.7109375" style="3" customWidth="1"/>
    <col min="6" max="6" width="21.28515625" style="3" customWidth="1"/>
    <col min="7" max="8" width="11.42578125" style="3" customWidth="1"/>
    <col min="9" max="16384" width="11.42578125" style="3"/>
  </cols>
  <sheetData>
    <row r="1" spans="1:6" x14ac:dyDescent="0.25">
      <c r="A1" s="1" t="s">
        <v>6</v>
      </c>
      <c r="B1" s="2" t="s">
        <v>7</v>
      </c>
      <c r="C1" s="2" t="s">
        <v>8</v>
      </c>
      <c r="D1" s="2" t="s">
        <v>26</v>
      </c>
      <c r="E1" s="2" t="s">
        <v>9</v>
      </c>
      <c r="F1" s="2" t="s">
        <v>10</v>
      </c>
    </row>
    <row r="2" spans="1:6" x14ac:dyDescent="0.25">
      <c r="A2" s="52">
        <v>4</v>
      </c>
      <c r="B2" s="3" t="s">
        <v>53</v>
      </c>
      <c r="C2" s="3">
        <v>1</v>
      </c>
      <c r="D2" s="4">
        <v>500</v>
      </c>
      <c r="E2" s="3" t="s">
        <v>57</v>
      </c>
    </row>
    <row r="3" spans="1:6" x14ac:dyDescent="0.25">
      <c r="A3" s="52">
        <v>3</v>
      </c>
      <c r="B3" s="3" t="s">
        <v>53</v>
      </c>
      <c r="C3" s="3">
        <v>1</v>
      </c>
      <c r="D3" s="4">
        <v>500</v>
      </c>
      <c r="E3" s="3" t="s">
        <v>57</v>
      </c>
    </row>
    <row r="4" spans="1:6" x14ac:dyDescent="0.25">
      <c r="A4" s="52">
        <v>2</v>
      </c>
      <c r="B4" s="3" t="s">
        <v>55</v>
      </c>
      <c r="C4" s="3">
        <v>1</v>
      </c>
      <c r="D4" s="4">
        <v>300</v>
      </c>
      <c r="E4" s="3" t="s">
        <v>57</v>
      </c>
      <c r="F4" s="3" t="s">
        <v>59</v>
      </c>
    </row>
    <row r="5" spans="1:6" x14ac:dyDescent="0.25">
      <c r="A5" s="52">
        <v>1</v>
      </c>
      <c r="B5" s="3" t="s">
        <v>53</v>
      </c>
      <c r="C5" s="3">
        <v>1</v>
      </c>
      <c r="D5" s="4">
        <v>400</v>
      </c>
      <c r="E5" s="3" t="s">
        <v>54</v>
      </c>
      <c r="F5" s="3" t="s">
        <v>54</v>
      </c>
    </row>
  </sheetData>
  <sheetProtection formatCells="0" formatColumns="0" formatRows="0" insertHyperlinks="0" sort="0" autoFilter="0" pivotTables="0"/>
  <conditionalFormatting sqref="A1">
    <cfRule type="duplicateValues" dxfId="2" priority="12"/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5"/>
  <sheetViews>
    <sheetView topLeftCell="C1" zoomScaleNormal="100" workbookViewId="0">
      <selection activeCell="A2" sqref="A2"/>
    </sheetView>
  </sheetViews>
  <sheetFormatPr baseColWidth="10" defaultRowHeight="15" x14ac:dyDescent="0.25"/>
  <cols>
    <col min="1" max="1" width="11.42578125" style="51"/>
    <col min="2" max="2" width="27.7109375" style="3" customWidth="1"/>
    <col min="3" max="3" width="9.140625" style="3" bestFit="1" customWidth="1"/>
    <col min="4" max="4" width="15" style="3" customWidth="1"/>
    <col min="5" max="5" width="16.5703125" style="3" customWidth="1"/>
    <col min="6" max="6" width="29.5703125" style="3" customWidth="1"/>
    <col min="7" max="7" width="12.42578125" style="3" customWidth="1"/>
    <col min="8" max="8" width="13.42578125" style="3" bestFit="1" customWidth="1"/>
    <col min="9" max="9" width="27.42578125" style="3" customWidth="1"/>
    <col min="10" max="10" width="2.7109375" style="3" customWidth="1"/>
    <col min="11" max="16384" width="11.42578125" style="3"/>
  </cols>
  <sheetData>
    <row r="1" spans="1:9" x14ac:dyDescent="0.25">
      <c r="A1" s="2" t="s">
        <v>15</v>
      </c>
      <c r="B1" s="2" t="s">
        <v>16</v>
      </c>
      <c r="C1" s="2" t="s">
        <v>17</v>
      </c>
      <c r="D1" s="2" t="s">
        <v>21</v>
      </c>
      <c r="E1" s="2" t="s">
        <v>22</v>
      </c>
      <c r="F1" s="2" t="s">
        <v>23</v>
      </c>
      <c r="G1" s="2" t="s">
        <v>11</v>
      </c>
      <c r="H1" s="2" t="s">
        <v>24</v>
      </c>
      <c r="I1" s="2" t="s">
        <v>12</v>
      </c>
    </row>
    <row r="2" spans="1:9" x14ac:dyDescent="0.25">
      <c r="A2" s="51">
        <v>4</v>
      </c>
    </row>
    <row r="3" spans="1:9" x14ac:dyDescent="0.25">
      <c r="A3" s="51">
        <v>3</v>
      </c>
      <c r="B3" s="3" t="s">
        <v>61</v>
      </c>
      <c r="F3" s="3" t="s">
        <v>62</v>
      </c>
    </row>
    <row r="4" spans="1:9" x14ac:dyDescent="0.25">
      <c r="A4" s="51">
        <v>2</v>
      </c>
      <c r="B4" s="3" t="s">
        <v>57</v>
      </c>
      <c r="C4" s="3" t="s">
        <v>60</v>
      </c>
    </row>
    <row r="5" spans="1:9" x14ac:dyDescent="0.25">
      <c r="A5" s="51">
        <v>2</v>
      </c>
      <c r="B5" s="3" t="s">
        <v>52</v>
      </c>
      <c r="F5" s="3" t="s">
        <v>50</v>
      </c>
      <c r="H5" s="3" t="s">
        <v>51</v>
      </c>
    </row>
  </sheetData>
  <sheetProtection formatCells="0" formatColumns="0" formatRows="0" insertRows="0" insertHyperlinks="0" deleteRows="0" sort="0" autoFilter="0" pivotTables="0"/>
  <pageMargins left="0.7" right="0.7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E10"/>
  <sheetViews>
    <sheetView workbookViewId="0">
      <selection activeCell="C7" sqref="C7"/>
    </sheetView>
  </sheetViews>
  <sheetFormatPr baseColWidth="10" defaultRowHeight="15" x14ac:dyDescent="0.25"/>
  <cols>
    <col min="1" max="1" width="11.42578125" style="39"/>
    <col min="2" max="2" width="14.5703125" style="39" customWidth="1"/>
    <col min="3" max="3" width="35.42578125" style="39" customWidth="1"/>
    <col min="4" max="4" width="33" style="39" customWidth="1"/>
    <col min="5" max="5" width="13.42578125" style="39" customWidth="1"/>
    <col min="6" max="16384" width="11.42578125" style="39"/>
  </cols>
  <sheetData>
    <row r="2" spans="2:5" ht="26.25" x14ac:dyDescent="0.4">
      <c r="B2" s="46" t="s">
        <v>29</v>
      </c>
    </row>
    <row r="6" spans="2:5" ht="15.75" x14ac:dyDescent="0.25">
      <c r="B6" s="40" t="s">
        <v>0</v>
      </c>
      <c r="C6" s="40" t="s">
        <v>14</v>
      </c>
      <c r="D6" s="40" t="s">
        <v>18</v>
      </c>
      <c r="E6" s="40" t="s">
        <v>19</v>
      </c>
    </row>
    <row r="7" spans="2:5" x14ac:dyDescent="0.25">
      <c r="B7" s="53">
        <f>COUNT(CLI!A:A)+1</f>
        <v>5</v>
      </c>
      <c r="C7" s="45"/>
      <c r="D7" s="45"/>
      <c r="E7" s="45"/>
    </row>
    <row r="8" spans="2:5" ht="15.75" x14ac:dyDescent="0.25">
      <c r="B8" s="41" t="s">
        <v>20</v>
      </c>
      <c r="C8" s="40" t="s">
        <v>3</v>
      </c>
      <c r="D8" s="42" t="s">
        <v>2</v>
      </c>
      <c r="E8" s="40" t="s">
        <v>25</v>
      </c>
    </row>
    <row r="9" spans="2:5" x14ac:dyDescent="0.25">
      <c r="B9" s="45"/>
      <c r="C9" s="45"/>
      <c r="D9" s="45"/>
      <c r="E9" s="45"/>
    </row>
    <row r="10" spans="2:5" ht="15.75" x14ac:dyDescent="0.25">
      <c r="B10" s="44" t="s">
        <v>28</v>
      </c>
      <c r="C10" s="47"/>
    </row>
  </sheetData>
  <pageMargins left="0.7" right="0.7" top="0.75" bottom="0.75" header="0.3" footer="0.3"/>
  <pageSetup orientation="portrait" horizontalDpi="4294967293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G7"/>
  <sheetViews>
    <sheetView workbookViewId="0">
      <selection activeCell="C7" sqref="C7"/>
    </sheetView>
  </sheetViews>
  <sheetFormatPr baseColWidth="10" defaultRowHeight="15" x14ac:dyDescent="0.25"/>
  <cols>
    <col min="1" max="1" width="11.42578125" style="39"/>
    <col min="2" max="2" width="12" style="39" bestFit="1" customWidth="1"/>
    <col min="3" max="3" width="30.28515625" style="39" customWidth="1"/>
    <col min="4" max="4" width="11.42578125" style="39"/>
    <col min="5" max="5" width="12.140625" style="39" bestFit="1" customWidth="1"/>
    <col min="6" max="6" width="21.28515625" style="39" customWidth="1"/>
    <col min="7" max="7" width="22.5703125" style="39" customWidth="1"/>
    <col min="8" max="16384" width="11.42578125" style="39"/>
  </cols>
  <sheetData>
    <row r="2" spans="2:7" ht="26.25" x14ac:dyDescent="0.4">
      <c r="B2" s="46" t="s">
        <v>29</v>
      </c>
    </row>
    <row r="6" spans="2:7" x14ac:dyDescent="0.25">
      <c r="B6" s="48" t="s">
        <v>6</v>
      </c>
      <c r="C6" s="48" t="s">
        <v>7</v>
      </c>
      <c r="D6" s="48" t="s">
        <v>8</v>
      </c>
      <c r="E6" s="48" t="s">
        <v>26</v>
      </c>
      <c r="F6" s="48" t="s">
        <v>56</v>
      </c>
      <c r="G6" s="48" t="s">
        <v>58</v>
      </c>
    </row>
    <row r="7" spans="2:7" x14ac:dyDescent="0.25">
      <c r="B7" s="54">
        <f>COUNT(CODIGOART)+1</f>
        <v>5</v>
      </c>
      <c r="C7" s="45"/>
      <c r="D7" s="45"/>
      <c r="E7" s="94"/>
      <c r="F7" s="45"/>
      <c r="G7" s="45"/>
    </row>
  </sheetData>
  <pageMargins left="0.7" right="0.7" top="0.75" bottom="0.75" header="0.3" footer="0.3"/>
  <pageSetup orientation="portrait" horizontalDpi="4294967293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4"/>
  <sheetViews>
    <sheetView workbookViewId="0"/>
  </sheetViews>
  <sheetFormatPr baseColWidth="10" defaultRowHeight="15" x14ac:dyDescent="0.25"/>
  <cols>
    <col min="2" max="2" width="10.85546875" style="63" bestFit="1" customWidth="1"/>
    <col min="3" max="3" width="13.85546875" bestFit="1" customWidth="1"/>
    <col min="4" max="4" width="10.7109375" style="64" bestFit="1" customWidth="1"/>
    <col min="5" max="5" width="18.7109375" bestFit="1" customWidth="1"/>
    <col min="6" max="6" width="11.140625" bestFit="1" customWidth="1"/>
    <col min="7" max="7" width="15.5703125" customWidth="1"/>
    <col min="8" max="8" width="9.5703125" bestFit="1" customWidth="1"/>
    <col min="9" max="9" width="18.5703125" bestFit="1" customWidth="1"/>
    <col min="10" max="10" width="21.28515625" bestFit="1" customWidth="1"/>
    <col min="11" max="11" width="12.42578125" bestFit="1" customWidth="1"/>
    <col min="12" max="12" width="21.28515625" bestFit="1" customWidth="1"/>
    <col min="13" max="13" width="7.140625" style="66" bestFit="1" customWidth="1"/>
    <col min="14" max="14" width="36.28515625" bestFit="1" customWidth="1"/>
    <col min="15" max="15" width="7.42578125" bestFit="1" customWidth="1"/>
    <col min="16" max="16" width="8.85546875" bestFit="1" customWidth="1"/>
    <col min="17" max="17" width="10.85546875" bestFit="1" customWidth="1"/>
    <col min="18" max="18" width="8.7109375" bestFit="1" customWidth="1"/>
  </cols>
  <sheetData>
    <row r="1" spans="1:18" x14ac:dyDescent="0.25">
      <c r="B1"/>
      <c r="D1"/>
      <c r="M1"/>
    </row>
    <row r="2" spans="1:18" x14ac:dyDescent="0.25">
      <c r="B2"/>
      <c r="D2"/>
      <c r="M2"/>
    </row>
    <row r="3" spans="1:18" x14ac:dyDescent="0.25">
      <c r="A3" s="61" t="s">
        <v>33</v>
      </c>
      <c r="B3" s="61" t="s">
        <v>32</v>
      </c>
      <c r="C3" s="62" t="s">
        <v>27</v>
      </c>
      <c r="D3" s="61" t="s">
        <v>0</v>
      </c>
      <c r="E3" s="61" t="s">
        <v>14</v>
      </c>
      <c r="F3" s="62" t="s">
        <v>18</v>
      </c>
      <c r="G3" s="61" t="s">
        <v>19</v>
      </c>
      <c r="H3" s="61" t="s">
        <v>20</v>
      </c>
      <c r="I3" s="61" t="s">
        <v>3</v>
      </c>
      <c r="J3" s="61" t="s">
        <v>2</v>
      </c>
      <c r="K3" s="61" t="s">
        <v>25</v>
      </c>
      <c r="L3" s="61" t="s">
        <v>28</v>
      </c>
      <c r="M3" s="61" t="s">
        <v>0</v>
      </c>
      <c r="N3" s="61" t="s">
        <v>30</v>
      </c>
      <c r="O3" s="61" t="s">
        <v>1</v>
      </c>
      <c r="P3" s="61" t="s">
        <v>31</v>
      </c>
      <c r="Q3" s="61" t="s">
        <v>4</v>
      </c>
      <c r="R3" s="61" t="s">
        <v>5</v>
      </c>
    </row>
    <row r="4" spans="1:18" x14ac:dyDescent="0.25">
      <c r="A4">
        <v>1</v>
      </c>
      <c r="B4" s="63">
        <v>1</v>
      </c>
      <c r="C4" s="120">
        <v>43755</v>
      </c>
      <c r="D4" s="64">
        <v>2</v>
      </c>
      <c r="E4" t="s">
        <v>52</v>
      </c>
      <c r="F4">
        <v>0</v>
      </c>
      <c r="G4">
        <v>0</v>
      </c>
      <c r="H4">
        <v>0</v>
      </c>
      <c r="I4" t="s">
        <v>50</v>
      </c>
      <c r="J4">
        <v>0</v>
      </c>
      <c r="K4" t="s">
        <v>51</v>
      </c>
      <c r="L4">
        <v>0</v>
      </c>
      <c r="M4" s="66">
        <v>1</v>
      </c>
      <c r="N4" t="s">
        <v>53</v>
      </c>
      <c r="O4">
        <v>1</v>
      </c>
      <c r="P4">
        <v>1</v>
      </c>
      <c r="Q4">
        <v>400</v>
      </c>
      <c r="R4">
        <v>400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1"/>
  <sheetViews>
    <sheetView tabSelected="1" workbookViewId="0">
      <selection activeCell="C8" sqref="C8"/>
    </sheetView>
  </sheetViews>
  <sheetFormatPr baseColWidth="10" defaultRowHeight="15" x14ac:dyDescent="0.25"/>
  <cols>
    <col min="1" max="1" width="3.5703125" style="39" customWidth="1"/>
    <col min="2" max="2" width="14.85546875" style="39" customWidth="1"/>
    <col min="3" max="3" width="34.140625" style="39" customWidth="1"/>
    <col min="4" max="4" width="17.42578125" style="39" customWidth="1"/>
    <col min="5" max="5" width="20.5703125" style="39" customWidth="1"/>
    <col min="6" max="6" width="26.85546875" style="39" customWidth="1"/>
    <col min="7" max="7" width="28.85546875" style="39" customWidth="1"/>
    <col min="8" max="9" width="12.42578125" style="39" bestFit="1" customWidth="1"/>
    <col min="10" max="10" width="28" style="39" bestFit="1" customWidth="1"/>
    <col min="11" max="16384" width="11.42578125" style="39"/>
  </cols>
  <sheetData>
    <row r="1" spans="1:10" x14ac:dyDescent="0.25">
      <c r="A1" s="68"/>
      <c r="B1" s="72"/>
      <c r="C1" s="73"/>
      <c r="D1" s="73"/>
      <c r="E1" s="73"/>
      <c r="F1" s="73"/>
      <c r="G1" s="73"/>
      <c r="H1" s="73"/>
      <c r="I1" s="73"/>
      <c r="J1" s="74"/>
    </row>
    <row r="2" spans="1:10" x14ac:dyDescent="0.25">
      <c r="B2" s="75"/>
      <c r="C2" s="76"/>
      <c r="D2" s="76"/>
      <c r="E2" s="76"/>
      <c r="F2" s="76"/>
      <c r="G2" s="76"/>
      <c r="H2" s="76"/>
      <c r="I2" s="76"/>
      <c r="J2" s="77"/>
    </row>
    <row r="3" spans="1:10" x14ac:dyDescent="0.25">
      <c r="B3" s="75"/>
      <c r="C3" s="76"/>
      <c r="D3" s="76"/>
      <c r="E3" s="76"/>
      <c r="F3" s="76"/>
      <c r="G3" s="76"/>
      <c r="H3" s="76"/>
      <c r="I3" s="76"/>
      <c r="J3" s="77"/>
    </row>
    <row r="4" spans="1:10" x14ac:dyDescent="0.25">
      <c r="B4" s="75"/>
      <c r="C4" s="76"/>
      <c r="D4" s="76"/>
      <c r="E4" s="76"/>
      <c r="F4" s="76"/>
      <c r="G4" s="76"/>
      <c r="H4" s="76"/>
      <c r="I4" s="76"/>
      <c r="J4" s="77"/>
    </row>
    <row r="5" spans="1:10" ht="22.5" customHeight="1" x14ac:dyDescent="0.25">
      <c r="B5" s="75" t="s">
        <v>37</v>
      </c>
      <c r="C5" s="76"/>
      <c r="D5" s="76"/>
      <c r="E5" s="76"/>
      <c r="F5" s="76"/>
      <c r="G5" s="76"/>
      <c r="H5" s="76"/>
      <c r="I5" s="76"/>
      <c r="J5" s="77"/>
    </row>
    <row r="6" spans="1:10" ht="15.75" thickBot="1" x14ac:dyDescent="0.3">
      <c r="B6" s="78"/>
      <c r="C6" s="79"/>
      <c r="D6" s="79"/>
      <c r="E6" s="79"/>
      <c r="F6" s="79"/>
      <c r="G6" s="79"/>
      <c r="H6" s="79"/>
      <c r="I6" s="79"/>
      <c r="J6" s="80"/>
    </row>
    <row r="7" spans="1:10" x14ac:dyDescent="0.25">
      <c r="B7" s="69" t="s">
        <v>0</v>
      </c>
      <c r="C7" s="69" t="s">
        <v>14</v>
      </c>
      <c r="D7" s="70" t="s">
        <v>18</v>
      </c>
      <c r="E7" s="69" t="s">
        <v>19</v>
      </c>
      <c r="F7" s="69" t="s">
        <v>20</v>
      </c>
      <c r="G7" s="69" t="s">
        <v>3</v>
      </c>
      <c r="H7" s="69" t="s">
        <v>2</v>
      </c>
      <c r="I7" s="69" t="s">
        <v>25</v>
      </c>
      <c r="J7" s="69" t="s">
        <v>28</v>
      </c>
    </row>
    <row r="8" spans="1:10" ht="22.5" customHeight="1" x14ac:dyDescent="0.25">
      <c r="B8" s="81" t="str">
        <f>IF(ISERROR(INDEX(NIT,MATCH(C8,NOMBRE,0))),"",INDEX(NIT,MATCH(C8,NOMBRE,0)))</f>
        <v/>
      </c>
      <c r="C8" s="82"/>
      <c r="D8" s="82" t="str">
        <f>IF(ISERROR(INDEX(APODO,MATCH(C8,NOMBRE,0))),"",INDEX(APODO,MATCH(C8,NOMBRE,0)))</f>
        <v/>
      </c>
      <c r="E8" s="82" t="str">
        <f>IF(ISERROR(INDEX(CEDULA,MATCH(C8,NOMBRE,0))),"",INDEX(CEDULA,MATCH(C8,NOMBRE,0)))</f>
        <v/>
      </c>
      <c r="F8" s="82" t="str">
        <f>IF(ISERROR(INDEX(PROFESION,MATCH(C8,NOMBRE,0))),"",INDEX(PROFESION,MATCH(C8,NOMBRE,0)))</f>
        <v/>
      </c>
      <c r="G8" s="82" t="str">
        <f>IF(ISERROR(INDEX(DIRECCION,MATCH(C8,NOMBRE,0))),"",INDEX(DIRECCION,MATCH(C8,NOMBRE,0)))</f>
        <v/>
      </c>
      <c r="H8" s="82" t="str">
        <f>IF(ISERROR(INDEX(TELEFONO,MATCH(C8,NOMBRE,0))),"",INDEX(TELEFONO,MATCH(C8,NOMBRE,0)))</f>
        <v/>
      </c>
      <c r="I8" s="82" t="str">
        <f>IF(ISERROR(INDEX(CELULAR,MATCH(C8,NOMBRE,0))),"",INDEX(CELULAR,MATCH(C8,NOMBRE,0)))</f>
        <v/>
      </c>
      <c r="J8" s="82" t="str">
        <f>IF(ISERROR(INDEX(EMAIL,MATCH(C8,NOMBRE,0))),"",INDEX(EMAIL,MATCH(C8,NOMBRE,0)))</f>
        <v/>
      </c>
    </row>
    <row r="10" spans="1:10" x14ac:dyDescent="0.25">
      <c r="B10" s="61" t="s">
        <v>39</v>
      </c>
      <c r="C10" s="61" t="s">
        <v>34</v>
      </c>
      <c r="D10" s="61" t="s">
        <v>35</v>
      </c>
      <c r="E10" s="61" t="s">
        <v>36</v>
      </c>
    </row>
    <row r="11" spans="1:10" x14ac:dyDescent="0.25">
      <c r="B11" s="89">
        <f ca="1">TODAY()</f>
        <v>43755</v>
      </c>
      <c r="C11" s="100">
        <v>400</v>
      </c>
      <c r="D11" s="83"/>
      <c r="E11" s="84">
        <v>8000</v>
      </c>
    </row>
  </sheetData>
  <conditionalFormatting sqref="E11">
    <cfRule type="cellIs" dxfId="1" priority="1" operator="lessThan">
      <formula>0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O13"/>
  <sheetViews>
    <sheetView workbookViewId="0"/>
  </sheetViews>
  <sheetFormatPr baseColWidth="10" defaultRowHeight="15" x14ac:dyDescent="0.25"/>
  <cols>
    <col min="1" max="1" width="2.42578125" customWidth="1"/>
    <col min="2" max="2" width="9.140625" customWidth="1"/>
    <col min="3" max="3" width="11.42578125" style="64"/>
    <col min="4" max="4" width="19.7109375" bestFit="1" customWidth="1"/>
    <col min="5" max="5" width="11.140625" bestFit="1" customWidth="1"/>
    <col min="6" max="6" width="13.42578125" bestFit="1" customWidth="1"/>
    <col min="7" max="7" width="12.140625" bestFit="1" customWidth="1"/>
    <col min="8" max="8" width="18.5703125" bestFit="1" customWidth="1"/>
    <col min="9" max="9" width="12.42578125" bestFit="1" customWidth="1"/>
    <col min="10" max="10" width="13.42578125" bestFit="1" customWidth="1"/>
    <col min="11" max="11" width="28" bestFit="1" customWidth="1"/>
    <col min="12" max="12" width="10.7109375" bestFit="1" customWidth="1"/>
    <col min="13" max="14" width="10.5703125" bestFit="1" customWidth="1"/>
    <col min="15" max="15" width="14.5703125" bestFit="1" customWidth="1"/>
  </cols>
  <sheetData>
    <row r="1" spans="2:15" x14ac:dyDescent="0.25">
      <c r="B1" s="72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4"/>
    </row>
    <row r="2" spans="2:15" x14ac:dyDescent="0.25">
      <c r="B2" s="75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2:15" x14ac:dyDescent="0.25">
      <c r="B3" s="75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7"/>
    </row>
    <row r="4" spans="2:15" x14ac:dyDescent="0.25">
      <c r="B4" s="75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7"/>
    </row>
    <row r="5" spans="2:15" ht="15.75" thickBot="1" x14ac:dyDescent="0.3">
      <c r="B5" s="78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80"/>
    </row>
    <row r="6" spans="2:15" x14ac:dyDescent="0.25">
      <c r="B6" s="69" t="s">
        <v>33</v>
      </c>
      <c r="C6" s="69" t="s">
        <v>0</v>
      </c>
      <c r="D6" s="69" t="s">
        <v>14</v>
      </c>
      <c r="E6" s="70" t="s">
        <v>18</v>
      </c>
      <c r="F6" s="69" t="s">
        <v>19</v>
      </c>
      <c r="G6" s="69" t="s">
        <v>20</v>
      </c>
      <c r="H6" s="69" t="s">
        <v>3</v>
      </c>
      <c r="I6" s="69" t="s">
        <v>2</v>
      </c>
      <c r="J6" s="69" t="s">
        <v>25</v>
      </c>
      <c r="K6" s="69" t="s">
        <v>28</v>
      </c>
      <c r="L6" s="69" t="s">
        <v>40</v>
      </c>
      <c r="M6" s="69" t="s">
        <v>34</v>
      </c>
      <c r="N6" s="69" t="s">
        <v>35</v>
      </c>
      <c r="O6" s="69" t="s">
        <v>38</v>
      </c>
    </row>
    <row r="7" spans="2:15" x14ac:dyDescent="0.25">
      <c r="B7" s="71"/>
      <c r="C7" s="87"/>
      <c r="D7" s="71"/>
      <c r="E7" s="71"/>
      <c r="F7" s="71"/>
      <c r="G7" s="71"/>
      <c r="H7" s="71"/>
      <c r="I7" s="71"/>
      <c r="J7" s="71"/>
      <c r="K7" s="71"/>
      <c r="L7" s="90"/>
      <c r="M7" s="71"/>
      <c r="N7" s="71"/>
      <c r="O7" s="71"/>
    </row>
    <row r="8" spans="2:15" x14ac:dyDescent="0.25">
      <c r="B8" s="85">
        <v>1</v>
      </c>
      <c r="C8" s="88">
        <v>2</v>
      </c>
      <c r="D8" s="85" t="s">
        <v>57</v>
      </c>
      <c r="E8" s="85" t="s">
        <v>60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91">
        <v>43755</v>
      </c>
      <c r="M8" s="86">
        <v>400</v>
      </c>
      <c r="N8" s="86"/>
      <c r="O8" s="86">
        <v>8000</v>
      </c>
    </row>
    <row r="9" spans="2:15" x14ac:dyDescent="0.25">
      <c r="B9" s="121"/>
      <c r="C9" s="122"/>
      <c r="D9" s="121"/>
      <c r="E9" s="121"/>
      <c r="F9" s="121"/>
      <c r="G9" s="121"/>
      <c r="H9" s="121"/>
      <c r="I9" s="121"/>
      <c r="J9" s="121"/>
      <c r="K9" s="121"/>
      <c r="L9" s="123"/>
      <c r="M9" s="124"/>
      <c r="N9" s="124"/>
      <c r="O9" s="124"/>
    </row>
    <row r="10" spans="2:15" x14ac:dyDescent="0.25">
      <c r="B10" s="121"/>
      <c r="C10" s="122"/>
      <c r="D10" s="121"/>
      <c r="E10" s="121"/>
      <c r="F10" s="121"/>
      <c r="G10" s="121"/>
      <c r="H10" s="121"/>
      <c r="I10" s="121"/>
      <c r="J10" s="121"/>
      <c r="K10" s="121"/>
      <c r="L10" s="123"/>
      <c r="M10" s="124"/>
      <c r="N10" s="124"/>
      <c r="O10" s="124"/>
    </row>
    <row r="11" spans="2:15" x14ac:dyDescent="0.25">
      <c r="B11" s="121"/>
      <c r="C11" s="122"/>
      <c r="D11" s="121"/>
      <c r="E11" s="121"/>
      <c r="F11" s="121"/>
      <c r="G11" s="121"/>
      <c r="H11" s="121"/>
      <c r="I11" s="121"/>
      <c r="J11" s="121"/>
      <c r="K11" s="121"/>
      <c r="L11" s="123"/>
      <c r="M11" s="124"/>
      <c r="N11" s="124"/>
      <c r="O11" s="124"/>
    </row>
    <row r="12" spans="2:15" x14ac:dyDescent="0.25">
      <c r="B12" s="121"/>
      <c r="C12" s="122"/>
      <c r="D12" s="121"/>
      <c r="E12" s="121"/>
      <c r="F12" s="121"/>
      <c r="G12" s="121"/>
      <c r="H12" s="121"/>
      <c r="I12" s="121"/>
      <c r="J12" s="121"/>
      <c r="K12" s="121"/>
      <c r="L12" s="123"/>
      <c r="M12" s="124"/>
      <c r="N12" s="124"/>
      <c r="O12" s="124"/>
    </row>
    <row r="13" spans="2:15" x14ac:dyDescent="0.25">
      <c r="B13" s="121"/>
      <c r="C13" s="122"/>
      <c r="D13" s="121"/>
      <c r="E13" s="121"/>
      <c r="F13" s="121"/>
      <c r="G13" s="121"/>
      <c r="H13" s="121"/>
      <c r="I13" s="121"/>
      <c r="J13" s="121"/>
      <c r="K13" s="121"/>
      <c r="L13" s="123"/>
      <c r="M13" s="124"/>
      <c r="N13" s="124"/>
      <c r="O13" s="124"/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5:M14"/>
  <sheetViews>
    <sheetView topLeftCell="B1" workbookViewId="0"/>
  </sheetViews>
  <sheetFormatPr baseColWidth="10" defaultRowHeight="15" x14ac:dyDescent="0.25"/>
  <cols>
    <col min="1" max="1" width="5.28515625" style="39" customWidth="1"/>
    <col min="2" max="2" width="8.28515625" style="39" bestFit="1" customWidth="1"/>
    <col min="3" max="3" width="19.5703125" style="39" bestFit="1" customWidth="1"/>
    <col min="4" max="4" width="13.28515625" style="39" customWidth="1"/>
    <col min="5" max="5" width="13.42578125" style="39" bestFit="1" customWidth="1"/>
    <col min="6" max="6" width="12.140625" style="39" bestFit="1" customWidth="1"/>
    <col min="7" max="7" width="28.42578125" style="39" customWidth="1"/>
    <col min="8" max="9" width="12.42578125" style="39" bestFit="1" customWidth="1"/>
    <col min="10" max="10" width="28" style="39" bestFit="1" customWidth="1"/>
    <col min="11" max="11" width="12.42578125" style="39" customWidth="1"/>
    <col min="12" max="12" width="11.42578125" style="39"/>
    <col min="13" max="13" width="13.7109375" style="39" customWidth="1"/>
    <col min="14" max="16384" width="11.42578125" style="39"/>
  </cols>
  <sheetData>
    <row r="5" spans="2:13" ht="24" customHeight="1" x14ac:dyDescent="0.25"/>
    <row r="8" spans="2:13" x14ac:dyDescent="0.25">
      <c r="B8" s="61" t="s">
        <v>0</v>
      </c>
      <c r="C8" s="61" t="s">
        <v>14</v>
      </c>
      <c r="D8" s="62" t="s">
        <v>18</v>
      </c>
      <c r="E8" s="61" t="s">
        <v>19</v>
      </c>
      <c r="F8" s="61" t="s">
        <v>20</v>
      </c>
      <c r="G8" s="61" t="s">
        <v>3</v>
      </c>
      <c r="H8" s="61" t="s">
        <v>2</v>
      </c>
      <c r="I8" s="61" t="s">
        <v>25</v>
      </c>
      <c r="J8" s="61" t="s">
        <v>28</v>
      </c>
      <c r="K8" s="61" t="s">
        <v>45</v>
      </c>
      <c r="L8" s="61" t="s">
        <v>35</v>
      </c>
      <c r="M8" s="61" t="s">
        <v>46</v>
      </c>
    </row>
    <row r="9" spans="2:13" x14ac:dyDescent="0.25">
      <c r="B9" s="99"/>
      <c r="C9" s="95"/>
      <c r="D9" s="95"/>
      <c r="E9" s="95"/>
      <c r="F9" s="95"/>
      <c r="G9" s="95"/>
      <c r="H9" s="95"/>
      <c r="I9" s="95"/>
      <c r="J9" s="95"/>
      <c r="K9" s="95"/>
      <c r="L9" s="95"/>
      <c r="M9" s="96"/>
    </row>
    <row r="10" spans="2:13" x14ac:dyDescent="0.25">
      <c r="B10" s="53">
        <v>4</v>
      </c>
      <c r="C10" s="45"/>
      <c r="D10" s="45"/>
      <c r="E10" s="45"/>
      <c r="F10" s="45"/>
      <c r="G10" s="45"/>
      <c r="H10" s="45"/>
      <c r="I10" s="45"/>
      <c r="J10" s="45"/>
      <c r="K10" s="94">
        <f>SUMIFS(REGISTROS!$R$4:$R$500000,REGISTROS!$E$4:$E$500000,C10,REGISTROS!$G$4:$G$500000,E10)</f>
        <v>0</v>
      </c>
      <c r="L10" s="94">
        <f>SUMIFS(REGISTROS2!$N$7:$N$500001,REGISTROS2!$D$7:$D$500001,C10,REGISTROS2!$F$7:$F$500001,E10)</f>
        <v>0</v>
      </c>
      <c r="M10" s="94">
        <f>K10-L10</f>
        <v>0</v>
      </c>
    </row>
    <row r="11" spans="2:13" x14ac:dyDescent="0.25">
      <c r="B11" s="108">
        <v>3</v>
      </c>
      <c r="C11" s="109" t="s">
        <v>61</v>
      </c>
      <c r="D11" s="109"/>
      <c r="E11" s="109"/>
      <c r="F11" s="109"/>
      <c r="G11" s="109" t="s">
        <v>62</v>
      </c>
      <c r="H11" s="109"/>
      <c r="I11" s="109">
        <v>2000</v>
      </c>
      <c r="J11" s="109"/>
      <c r="K11" s="110">
        <f>SUMIFS(REGISTROS!$R$4:$R$500000,REGISTROS!$E$4:$E$500000,C11,REGISTROS!$G$4:$G$500000,E11)</f>
        <v>0</v>
      </c>
      <c r="L11" s="110">
        <f>SUMIFS(REGISTROS2!$N$7:$N$500001,REGISTROS2!$D$7:$D$500001,C11,REGISTROS2!$F$7:$F$500001,E11)</f>
        <v>0</v>
      </c>
      <c r="M11" s="110">
        <f>K11-L11</f>
        <v>0</v>
      </c>
    </row>
    <row r="12" spans="2:13" x14ac:dyDescent="0.25">
      <c r="B12" s="108">
        <v>2</v>
      </c>
      <c r="C12" s="109" t="s">
        <v>57</v>
      </c>
      <c r="D12" s="109" t="s">
        <v>60</v>
      </c>
      <c r="E12" s="109"/>
      <c r="F12" s="109"/>
      <c r="G12" s="109"/>
      <c r="H12" s="109"/>
      <c r="I12" s="109"/>
      <c r="J12" s="109"/>
      <c r="K12" s="110">
        <f>SUMIFS(REGISTROS!$R$4:$R$500000,REGISTROS!$E$4:$E$500000,C12,REGISTROS!$G$4:$G$500000,E12)</f>
        <v>0</v>
      </c>
      <c r="L12" s="110">
        <f>SUMIFS(REGISTROS2!$N$7:$N$500001,REGISTROS2!$D$7:$D$500001,C12,REGISTROS2!$F$7:$F$500001,E12)</f>
        <v>0</v>
      </c>
      <c r="M12" s="110">
        <f>K12-L12</f>
        <v>0</v>
      </c>
    </row>
    <row r="13" spans="2:13" x14ac:dyDescent="0.25">
      <c r="B13" s="108">
        <v>2</v>
      </c>
      <c r="C13" s="109" t="s">
        <v>52</v>
      </c>
      <c r="D13" s="109"/>
      <c r="E13" s="109"/>
      <c r="F13" s="109"/>
      <c r="G13" s="109" t="s">
        <v>50</v>
      </c>
      <c r="H13" s="109"/>
      <c r="I13" s="109" t="s">
        <v>51</v>
      </c>
      <c r="J13" s="109"/>
      <c r="K13" s="110">
        <f>SUMIFS(REGISTROS!$R$4:$R$500000,REGISTROS!$E$4:$E$500000,C13,REGISTROS!$G$4:$G$500000,E13)</f>
        <v>400</v>
      </c>
      <c r="L13" s="110">
        <v>400</v>
      </c>
      <c r="M13" s="110">
        <f>K13-L13</f>
        <v>0</v>
      </c>
    </row>
    <row r="14" spans="2:13" x14ac:dyDescent="0.25">
      <c r="B14" s="108"/>
      <c r="C14" s="109"/>
      <c r="D14" s="109"/>
      <c r="E14" s="109"/>
      <c r="F14" s="109"/>
      <c r="G14" s="109"/>
      <c r="H14" s="109"/>
      <c r="I14" s="109"/>
      <c r="J14" s="109"/>
      <c r="K14" s="110"/>
      <c r="L14" s="110"/>
      <c r="M14" s="110"/>
    </row>
  </sheetData>
  <autoFilter ref="B9:M9">
    <sortState ref="B10:M13">
      <sortCondition descending="1" ref="M9"/>
    </sortState>
  </autoFilter>
  <conditionalFormatting sqref="M9:M499995">
    <cfRule type="cellIs" dxfId="0" priority="1" operator="greaterThan">
      <formula>0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15</vt:i4>
      </vt:variant>
    </vt:vector>
  </HeadingPairs>
  <TitlesOfParts>
    <vt:vector size="24" baseType="lpstr">
      <vt:lpstr>FACTURA</vt:lpstr>
      <vt:lpstr>ART</vt:lpstr>
      <vt:lpstr>CLI</vt:lpstr>
      <vt:lpstr>AGR. CLIENTE</vt:lpstr>
      <vt:lpstr>AGR. ARTICULO</vt:lpstr>
      <vt:lpstr>REGISTROS</vt:lpstr>
      <vt:lpstr>PAGOS</vt:lpstr>
      <vt:lpstr>REGISTROS2</vt:lpstr>
      <vt:lpstr>Res. de Deuda</vt:lpstr>
      <vt:lpstr>APODO</vt:lpstr>
      <vt:lpstr>FACTURA!Área_de_impresión</vt:lpstr>
      <vt:lpstr>ARTICULO</vt:lpstr>
      <vt:lpstr>CEDULA</vt:lpstr>
      <vt:lpstr>CELULAR</vt:lpstr>
      <vt:lpstr>CODIGOART</vt:lpstr>
      <vt:lpstr>DIRECCION</vt:lpstr>
      <vt:lpstr>EMAIL</vt:lpstr>
      <vt:lpstr>NIT</vt:lpstr>
      <vt:lpstr>NOMBRE</vt:lpstr>
      <vt:lpstr>PRECIOUNT</vt:lpstr>
      <vt:lpstr>PROFESION</vt:lpstr>
      <vt:lpstr>TABART</vt:lpstr>
      <vt:lpstr>TELEFONO</vt:lpstr>
      <vt:lpstr>UNIDART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Gracesqui</dc:creator>
  <cp:lastModifiedBy>SER</cp:lastModifiedBy>
  <cp:lastPrinted>2015-06-02T04:05:04Z</cp:lastPrinted>
  <dcterms:created xsi:type="dcterms:W3CDTF">2015-06-01T03:33:43Z</dcterms:created>
  <dcterms:modified xsi:type="dcterms:W3CDTF">2019-10-17T16:47:17Z</dcterms:modified>
</cp:coreProperties>
</file>